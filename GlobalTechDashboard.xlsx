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Waseka\Documents\"/>
    </mc:Choice>
  </mc:AlternateContent>
  <xr:revisionPtr revIDLastSave="0" documentId="13_ncr:11_{83CB05ED-3D69-4229-A956-18A283039B9D}" xr6:coauthVersionLast="47" xr6:coauthVersionMax="47" xr10:uidLastSave="{00000000-0000-0000-0000-000000000000}"/>
  <bookViews>
    <workbookView xWindow="-110" yWindow="-110" windowWidth="19420" windowHeight="11500" firstSheet="14" activeTab="14" xr2:uid="{7542C281-B571-4DB1-A9B5-D937539AAFED}"/>
  </bookViews>
  <sheets>
    <sheet name="pivot table1" sheetId="7" state="hidden" r:id="rId1"/>
    <sheet name="pivot table2" sheetId="13" state="hidden" r:id="rId2"/>
    <sheet name="pivot table3" sheetId="14" state="hidden" r:id="rId3"/>
    <sheet name="pivottable4" sheetId="16" state="hidden" r:id="rId4"/>
    <sheet name="pivottable5" sheetId="19" state="hidden" r:id="rId5"/>
    <sheet name="pivottable6" sheetId="20" state="hidden" r:id="rId6"/>
    <sheet name="pivottable7" sheetId="21" state="hidden" r:id="rId7"/>
    <sheet name="pivottable8" sheetId="22" state="hidden" r:id="rId8"/>
    <sheet name="PT_Hiring" sheetId="23" state="hidden" r:id="rId9"/>
    <sheet name="PT_Retention" sheetId="24" state="hidden" r:id="rId10"/>
    <sheet name="PT_City" sheetId="25" state="hidden" r:id="rId11"/>
    <sheet name="pivottable9" sheetId="27" state="hidden" r:id="rId12"/>
    <sheet name="Page001__2" sheetId="5" state="hidden" r:id="rId13"/>
    <sheet name="Page001 (2)" sheetId="4" state="hidden" r:id="rId14"/>
    <sheet name="Dashboard" sheetId="26" r:id="rId15"/>
  </sheets>
  <definedNames>
    <definedName name="ExternalData_1" localSheetId="13" hidden="1">'Page001 (2)'!$A$1:$A$32</definedName>
    <definedName name="ExternalData_2" localSheetId="12" hidden="1">Page001__2!$A$1:$L$31</definedName>
    <definedName name="Slicer_Country">#N/A</definedName>
    <definedName name="Slicer_Department">#N/A</definedName>
  </definedNames>
  <calcPr calcId="191029"/>
  <pivotCaches>
    <pivotCache cacheId="128"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5" l="1"/>
  <c r="G2" i="5"/>
  <c r="H2" i="5" s="1"/>
  <c r="G3" i="5"/>
  <c r="H3" i="5" s="1"/>
  <c r="G4" i="5"/>
  <c r="H4" i="5" s="1"/>
  <c r="G5" i="5"/>
  <c r="H5" i="5" s="1"/>
  <c r="G6" i="5"/>
  <c r="G7" i="5"/>
  <c r="H7" i="5" s="1"/>
  <c r="G8" i="5"/>
  <c r="H8" i="5" s="1"/>
  <c r="G9" i="5"/>
  <c r="G10" i="5"/>
  <c r="H10" i="5" s="1"/>
  <c r="G11" i="5"/>
  <c r="H11" i="5" s="1"/>
  <c r="G12" i="5"/>
  <c r="H12" i="5" s="1"/>
  <c r="G13" i="5"/>
  <c r="H13" i="5" s="1"/>
  <c r="G14" i="5"/>
  <c r="H14" i="5" s="1"/>
  <c r="G15" i="5"/>
  <c r="H15" i="5" s="1"/>
  <c r="G16" i="5"/>
  <c r="H16" i="5" s="1"/>
  <c r="G17" i="5"/>
  <c r="H17" i="5" s="1"/>
  <c r="G18" i="5"/>
  <c r="H18" i="5" s="1"/>
  <c r="G19" i="5"/>
  <c r="H19" i="5" s="1"/>
  <c r="G20" i="5"/>
  <c r="H20" i="5" s="1"/>
  <c r="G21" i="5"/>
  <c r="H21" i="5" s="1"/>
  <c r="G22" i="5"/>
  <c r="H22" i="5" s="1"/>
  <c r="G23" i="5"/>
  <c r="H23" i="5" s="1"/>
  <c r="G24" i="5"/>
  <c r="H24" i="5" s="1"/>
  <c r="G25" i="5"/>
  <c r="H25" i="5" s="1"/>
  <c r="G26" i="5"/>
  <c r="H26" i="5" s="1"/>
  <c r="G27" i="5"/>
  <c r="H27" i="5" s="1"/>
  <c r="G28" i="5"/>
  <c r="G29" i="5"/>
  <c r="G30" i="5"/>
  <c r="H30" i="5" s="1"/>
  <c r="G31" i="5"/>
  <c r="H31" i="5" s="1"/>
  <c r="H6" i="5"/>
  <c r="H9" i="5"/>
  <c r="H28" i="5"/>
  <c r="H29" i="5"/>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F41990-DF6F-4CA8-B612-E8576399C27C}" keepAlive="1" name="Query - Page001 (2)" description="Connection to the 'Page001 (2)' query in the workbook." type="5" refreshedVersion="8" background="1" saveData="1">
    <dbPr connection="Provider=Microsoft.Mashup.OleDb.1;Data Source=$Workbook$;Location=&quot;Page001 (2)&quot;;Extended Properties=&quot;&quot;" command="SELECT * FROM [Page001 (2)]"/>
  </connection>
  <connection id="2" xr16:uid="{DCF6638E-CF15-4E84-9245-928C093A6581}" keepAlive="1" name="Query - Page001__2" description="Connection to the 'Page001__2' query in the workbook." type="5" refreshedVersion="8" background="1" saveData="1">
    <dbPr connection="Provider=Microsoft.Mashup.OleDb.1;Data Source=$Workbook$;Location=Page001__2;Extended Properties=&quot;&quot;" command="SELECT * FROM [Page001__2]"/>
  </connection>
  <connection id="3" xr16:uid="{3FCC5DB2-9220-4A6E-8BA5-05F18CC4C1DB}" keepAlive="1" name="Query - Page001__2_1" description="Connection to the 'Page001__2_1' query in the workbook." type="5" refreshedVersion="0" background="1">
    <dbPr connection="Provider=Microsoft.Mashup.OleDb.1;Data Source=$Workbook$;Location=Page001__2_1;Extended Properties=&quot;&quot;" command="SELECT * FROM [Page001__2_1]"/>
  </connection>
  <connection id="4" xr16:uid="{B8BE100A-4BED-4745-A885-CE898F88DBA7}" keepAlive="1" name="Query - Page001__2_1 (2)" description="Connection to the 'Page001__2_1 (2)' query in the workbook." type="5" refreshedVersion="0" background="1">
    <dbPr connection="Provider=Microsoft.Mashup.OleDb.1;Data Source=$Workbook$;Location=&quot;Page001__2_1 (2)&quot;;Extended Properties=&quot;&quot;" command="SELECT * FROM [Page001__2_1 (2)]"/>
  </connection>
  <connection id="5" xr16:uid="{007BCC71-36C9-4F0D-96A2-11079030831C}" keepAlive="1" name="Query - Page001__2_1 (3)" description="Connection to the 'Page001__2_1 (3)' query in the workbook." type="5" refreshedVersion="0" background="1">
    <dbPr connection="Provider=Microsoft.Mashup.OleDb.1;Data Source=$Workbook$;Location=&quot;Page001__2_1 (3)&quot;;Extended Properties=&quot;&quot;" command="SELECT * FROM [Page001__2_1 (3)]"/>
  </connection>
</connections>
</file>

<file path=xl/sharedStrings.xml><?xml version="1.0" encoding="utf-8"?>
<sst xmlns="http://schemas.openxmlformats.org/spreadsheetml/2006/main" count="397" uniqueCount="176">
  <si>
    <t>Column1</t>
  </si>
  <si>
    <t>EmpID,FullName,JobTitle,Department,HireDate,Salary,YearsExperience,Country,City</t>
  </si>
  <si>
    <t>EMP001,Laura Doe,HR Specialist,Finance,2012-02-14,78960.73,13.1,Canada,Toronto</t>
  </si>
  <si>
    <t>EMP002,John Brown,Data Analyst,IT,2018-10-07,105887.97,14.8,UK,Berlin</t>
  </si>
  <si>
    <t>EMP003,Jane Smith,Developer,Sales,2019-10-24,97023.20,1.3,Canada,Berlin</t>
  </si>
  <si>
    <t>EMP004,James Johnson,Project Manager,Operations,2016-06-01,125500.00,11.4,USA,New York</t>
  </si>
  <si>
    <t>EMP005,Sophia Lee,Data Scientist,IT,2020-03-15,115450.50,4.5,India,Delhi</t>
  </si>
  <si>
    <t>EMP006,David Kim,Financial Analyst,Finance,2015-09-21,98400.75,9.7,Canada,Toronto</t>
  </si>
  <si>
    <t>EMP007,Emma Garcia,Designer,Marketing,2017-12-11,76500.20,6.1,France,Paris</t>
  </si>
  <si>
    <t>EMP008,Daniel Scott,Software Engineer,IT,2014-07-25,134200.00,12.0,USA,Chicago</t>
  </si>
  <si>
    <t>EMP009,Olivia Miller,Product Manager,Sales,2019-01-09,112300.65,3.9,Germany,Berlin</t>
  </si>
  <si>
    <t>EMP010,William Davis,HR Manager,HR,2013-05-30,89400.80,14.2,Canada,Montreal</t>
  </si>
  <si>
    <t>EMP011,Ethan Wilson,Support Engineer,IT,2018-02-17,68500.90,5.7,USA,Boston</t>
  </si>
  <si>
    <t>EMP012,Ava Taylor,Marketing Specialist,Marketing,2021-06-20,60200.45,2.1,France,Lyon</t>
  </si>
  <si>
    <t>EMP013,Michael Clark,DevOps Engineer,IT,2016-08-05,121300.10,8.5,India,Mumbai</t>
  </si>
  <si>
    <t>EMP014,Isabella White,Data Analyst,Finance,2017-10-19,99800.75,7.3,Canada,Vancouver</t>
  </si>
  <si>
    <t>EMP015,Alexander Hall,Developer,Sales,2014-11-25,109500.25,10.2,UK,London</t>
  </si>
  <si>
    <t>EMP016,Mia Young,Recruiter,HR,2019-04-14,71500.55,4.0,USA,Miami</t>
  </si>
  <si>
    <t>EMP017,Jacob Allen,UI/UX Designer,Marketing,2015-01-09,85000.65,9.5,France,Paris</t>
  </si>
  <si>
    <t>EMP018,Charlotte King,Data Scientist,IT,2022-07-13,125700.85,2.5,India,Bangalore</t>
  </si>
  <si>
    <t>EMP019,Henry Wright,Accountant,Finance,2013-03-18,88000.40,15.0,Canada,Toronto</t>
  </si>
  <si>
    <t>EMP020,Amelia Adams,Software Engineer,IT,2020-08-29,104500.70,3.3,UK,Manchester</t>
  </si>
  <si>
    <t>EMP021,Lucas Nelson,HR Specialist,HR,2016-12-02,78200.35,6.9,USA,Chicago</t>
  </si>
  <si>
    <t>EMP022,Harper Baker,Marketing Analyst,Marketing,2018-09-17,69800.25,5.2,Germany,Hamburg</t>
  </si>
  <si>
    <t>EMP023,Daniel Perez,Product Owner,Operations,2012-04-22,134800.95,14.6,USA,San Francisco</t>
  </si>
  <si>
    <t>EMP024,Evelyn Rivera,Customer Support,Sales,2019-07-03,58200.80,3.1,UK,Bristol</t>
  </si>
  <si>
    <t>EMP025,Matthew Carter,Financial Analyst,Finance,2017-05-30,93600.60,7.7,India,Hyderabad</t>
  </si>
  <si>
    <t>EMP026,Sofia Mitchell,Data Engineer,IT,2014-10-27,128300.20,11.1,France,Paris</t>
  </si>
  <si>
    <t>EMP027,Benjamin Roberts,Sales Executive,Sales,2016-01-11,74500.35,8.2,Canada,Ottawa</t>
  </si>
  <si>
    <t>EMP028,Abigail Turner,HR Generalist,HR,2015-07-19,81000.55,9.9,USA,Atlanta</t>
  </si>
  <si>
    <t>EMP029,Joseph Phillips,Developer,IT,2018-11-05,115800.00,5.4,India,Chennai</t>
  </si>
  <si>
    <t>EMP030,Emily Campbell,Marketing Manager,Marketing,2013-09-23,99500.75,12.7,UK,Liverpool</t>
  </si>
  <si>
    <t>EMP029</t>
  </si>
  <si>
    <t>Joseph Phillips</t>
  </si>
  <si>
    <t>Developer</t>
  </si>
  <si>
    <t>IT</t>
  </si>
  <si>
    <t>India</t>
  </si>
  <si>
    <t>Chennai</t>
  </si>
  <si>
    <t>EMP028</t>
  </si>
  <si>
    <t>Abigail Turner</t>
  </si>
  <si>
    <t>HR Generalist</t>
  </si>
  <si>
    <t>HR</t>
  </si>
  <si>
    <t>USA</t>
  </si>
  <si>
    <t>Atlanta</t>
  </si>
  <si>
    <t>EmpID</t>
  </si>
  <si>
    <t>FullName</t>
  </si>
  <si>
    <t>JobTitle</t>
  </si>
  <si>
    <t>Department</t>
  </si>
  <si>
    <t>HireDate</t>
  </si>
  <si>
    <t>Salary</t>
  </si>
  <si>
    <t>YearsExperience</t>
  </si>
  <si>
    <t>Country</t>
  </si>
  <si>
    <t>City</t>
  </si>
  <si>
    <t>EMP001</t>
  </si>
  <si>
    <t>Laura Doe</t>
  </si>
  <si>
    <t>HR Specialist</t>
  </si>
  <si>
    <t>Finance</t>
  </si>
  <si>
    <t>Canada</t>
  </si>
  <si>
    <t>Toronto</t>
  </si>
  <si>
    <t>EMP002</t>
  </si>
  <si>
    <t>John Brown</t>
  </si>
  <si>
    <t>Data Analyst</t>
  </si>
  <si>
    <t>UK</t>
  </si>
  <si>
    <t>Berlin</t>
  </si>
  <si>
    <t>EMP003</t>
  </si>
  <si>
    <t>Jane Smith</t>
  </si>
  <si>
    <t>Sales</t>
  </si>
  <si>
    <t>EMP004</t>
  </si>
  <si>
    <t>James Johnson</t>
  </si>
  <si>
    <t>Project Manager</t>
  </si>
  <si>
    <t>Operations</t>
  </si>
  <si>
    <t>New York</t>
  </si>
  <si>
    <t>EMP005</t>
  </si>
  <si>
    <t>Sophia Lee</t>
  </si>
  <si>
    <t>Data Scientist</t>
  </si>
  <si>
    <t>Delhi</t>
  </si>
  <si>
    <t>EMP006</t>
  </si>
  <si>
    <t>David Kim</t>
  </si>
  <si>
    <t>Financial Analyst</t>
  </si>
  <si>
    <t>EMP007</t>
  </si>
  <si>
    <t>Emma Garcia</t>
  </si>
  <si>
    <t>Designer</t>
  </si>
  <si>
    <t>Marketing</t>
  </si>
  <si>
    <t>France</t>
  </si>
  <si>
    <t>Paris</t>
  </si>
  <si>
    <t>EMP008</t>
  </si>
  <si>
    <t>Daniel Scott</t>
  </si>
  <si>
    <t>Software Engineer</t>
  </si>
  <si>
    <t>Chicago</t>
  </si>
  <si>
    <t>EMP009</t>
  </si>
  <si>
    <t>Olivia Miller</t>
  </si>
  <si>
    <t>Product Manager</t>
  </si>
  <si>
    <t>Germany</t>
  </si>
  <si>
    <t>EMP010</t>
  </si>
  <si>
    <t>William Davis</t>
  </si>
  <si>
    <t>HR Manager</t>
  </si>
  <si>
    <t>Montreal</t>
  </si>
  <si>
    <t>EMP011</t>
  </si>
  <si>
    <t>Ethan Wilson</t>
  </si>
  <si>
    <t>Support Engineer</t>
  </si>
  <si>
    <t>Boston</t>
  </si>
  <si>
    <t>EMP012</t>
  </si>
  <si>
    <t>Ava Taylor</t>
  </si>
  <si>
    <t>Marketing Specialist</t>
  </si>
  <si>
    <t>Lyon</t>
  </si>
  <si>
    <t>EMP013</t>
  </si>
  <si>
    <t>Michael Clark</t>
  </si>
  <si>
    <t>DevOps Engineer</t>
  </si>
  <si>
    <t>Mumbai</t>
  </si>
  <si>
    <t>EMP014</t>
  </si>
  <si>
    <t>Isabella White</t>
  </si>
  <si>
    <t>Vancouver</t>
  </si>
  <si>
    <t>EMP015</t>
  </si>
  <si>
    <t>Alexander Hall</t>
  </si>
  <si>
    <t>London</t>
  </si>
  <si>
    <t>EMP016</t>
  </si>
  <si>
    <t>Mia Young</t>
  </si>
  <si>
    <t>Recruiter</t>
  </si>
  <si>
    <t>Miami</t>
  </si>
  <si>
    <t>EMP017</t>
  </si>
  <si>
    <t>Jacob Allen</t>
  </si>
  <si>
    <t>UI/UX Designer</t>
  </si>
  <si>
    <t>EMP018</t>
  </si>
  <si>
    <t>Charlotte King</t>
  </si>
  <si>
    <t>Bangalore</t>
  </si>
  <si>
    <t>EMP019</t>
  </si>
  <si>
    <t>Henry Wright</t>
  </si>
  <si>
    <t>Accountant</t>
  </si>
  <si>
    <t>EMP020</t>
  </si>
  <si>
    <t>Amelia Adams</t>
  </si>
  <si>
    <t>Manchester</t>
  </si>
  <si>
    <t>EMP021</t>
  </si>
  <si>
    <t>Lucas Nelson</t>
  </si>
  <si>
    <t>EMP022</t>
  </si>
  <si>
    <t>Harper Baker</t>
  </si>
  <si>
    <t>Marketing Analyst</t>
  </si>
  <si>
    <t>Hamburg</t>
  </si>
  <si>
    <t>EMP023</t>
  </si>
  <si>
    <t>Daniel Perez</t>
  </si>
  <si>
    <t>Product Owner</t>
  </si>
  <si>
    <t>San Francisco</t>
  </si>
  <si>
    <t>EMP024</t>
  </si>
  <si>
    <t>Evelyn Rivera</t>
  </si>
  <si>
    <t>Customer Support</t>
  </si>
  <si>
    <t>Bristol</t>
  </si>
  <si>
    <t>EMP025</t>
  </si>
  <si>
    <t>Matthew Carter</t>
  </si>
  <si>
    <t>Hyderabad</t>
  </si>
  <si>
    <t>EMP026</t>
  </si>
  <si>
    <t>Sofia Mitchell</t>
  </si>
  <si>
    <t>Data Engineer</t>
  </si>
  <si>
    <t>EMP027</t>
  </si>
  <si>
    <t>Benjamin Roberts</t>
  </si>
  <si>
    <t>Sales Executive</t>
  </si>
  <si>
    <t>Ottawa</t>
  </si>
  <si>
    <t>EMP030</t>
  </si>
  <si>
    <t>Emily Campbell</t>
  </si>
  <si>
    <t>Marketing Manager</t>
  </si>
  <si>
    <t>Liverpool</t>
  </si>
  <si>
    <t>Row Labels</t>
  </si>
  <si>
    <t>Grand Total</t>
  </si>
  <si>
    <t>Average of YearsExperience</t>
  </si>
  <si>
    <t>dept with highest avg years of experience</t>
  </si>
  <si>
    <t>Average of Salary</t>
  </si>
  <si>
    <t>Sum of Salary</t>
  </si>
  <si>
    <t>Column Labels</t>
  </si>
  <si>
    <t>Avg Dept Salary</t>
  </si>
  <si>
    <t>Salary Class</t>
  </si>
  <si>
    <t>Count of EmpID</t>
  </si>
  <si>
    <t>Experience Tier</t>
  </si>
  <si>
    <t>High Experience</t>
  </si>
  <si>
    <t>Low Experience</t>
  </si>
  <si>
    <t>Medium Experience</t>
  </si>
  <si>
    <t>Hire Year</t>
  </si>
  <si>
    <t>Retention Risk</t>
  </si>
  <si>
    <t xml:space="preserve">    Company Workforce and Compensation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</si>
</sst>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Aptos Narrow"/>
      <family val="2"/>
      <scheme val="minor"/>
    </font>
    <font>
      <b/>
      <sz val="11"/>
      <color theme="1"/>
      <name val="Aptos Narrow"/>
      <family val="2"/>
      <scheme val="minor"/>
    </font>
    <font>
      <sz val="8"/>
      <name val="Aptos Narrow"/>
      <family val="2"/>
      <scheme val="minor"/>
    </font>
    <font>
      <b/>
      <sz val="20"/>
      <color theme="0"/>
      <name val="Aptos Narrow"/>
      <family val="2"/>
      <scheme val="minor"/>
    </font>
    <font>
      <sz val="20"/>
      <color theme="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3" tint="0.249977111117893"/>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 fillId="2" borderId="0" xfId="0" applyFont="1" applyFill="1"/>
    <xf numFmtId="164" fontId="0" fillId="0" borderId="0" xfId="0" applyNumberFormat="1"/>
    <xf numFmtId="0" fontId="0" fillId="3" borderId="0" xfId="0" applyFill="1"/>
    <xf numFmtId="0" fontId="3" fillId="3" borderId="0" xfId="0" applyFont="1" applyFill="1" applyAlignment="1">
      <alignment horizontal="center"/>
    </xf>
    <xf numFmtId="0" fontId="4" fillId="3" borderId="0" xfId="0" applyFont="1" applyFill="1" applyAlignment="1">
      <alignment horizontal="center"/>
    </xf>
    <xf numFmtId="0" fontId="0" fillId="0" borderId="0" xfId="0" applyNumberFormat="1"/>
  </cellXfs>
  <cellStyles count="1">
    <cellStyle name="Normal" xfId="0" builtinId="0"/>
  </cellStyles>
  <dxfs count="13">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Page001__2!$I$1</c:f>
              <c:strCache>
                <c:ptCount val="1"/>
                <c:pt idx="0">
                  <c:v>YearsExperience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Page001__2!$F$2:$F$35</c:f>
              <c:numCache>
                <c:formatCode>General</c:formatCode>
                <c:ptCount val="34"/>
                <c:pt idx="0">
                  <c:v>78960.73</c:v>
                </c:pt>
                <c:pt idx="1">
                  <c:v>105887.97</c:v>
                </c:pt>
                <c:pt idx="2">
                  <c:v>97023.2</c:v>
                </c:pt>
                <c:pt idx="3">
                  <c:v>125500</c:v>
                </c:pt>
                <c:pt idx="4">
                  <c:v>115450.5</c:v>
                </c:pt>
                <c:pt idx="5">
                  <c:v>98400.75</c:v>
                </c:pt>
                <c:pt idx="6">
                  <c:v>76500.2</c:v>
                </c:pt>
                <c:pt idx="7">
                  <c:v>134200</c:v>
                </c:pt>
                <c:pt idx="8">
                  <c:v>112300.65</c:v>
                </c:pt>
                <c:pt idx="9">
                  <c:v>89400.8</c:v>
                </c:pt>
                <c:pt idx="10">
                  <c:v>68500.899999999994</c:v>
                </c:pt>
                <c:pt idx="11">
                  <c:v>60200.45</c:v>
                </c:pt>
                <c:pt idx="12">
                  <c:v>121300.1</c:v>
                </c:pt>
                <c:pt idx="13">
                  <c:v>99800.75</c:v>
                </c:pt>
                <c:pt idx="14">
                  <c:v>109500.25</c:v>
                </c:pt>
                <c:pt idx="15">
                  <c:v>71500.55</c:v>
                </c:pt>
                <c:pt idx="16">
                  <c:v>85000.65</c:v>
                </c:pt>
                <c:pt idx="17">
                  <c:v>125700.85</c:v>
                </c:pt>
                <c:pt idx="18">
                  <c:v>88000.4</c:v>
                </c:pt>
                <c:pt idx="19">
                  <c:v>104500.7</c:v>
                </c:pt>
                <c:pt idx="20">
                  <c:v>78200.350000000006</c:v>
                </c:pt>
                <c:pt idx="21">
                  <c:v>69800.25</c:v>
                </c:pt>
                <c:pt idx="22">
                  <c:v>134800.95000000001</c:v>
                </c:pt>
                <c:pt idx="23">
                  <c:v>58200.800000000003</c:v>
                </c:pt>
                <c:pt idx="24">
                  <c:v>93600.6</c:v>
                </c:pt>
                <c:pt idx="25">
                  <c:v>128300.2</c:v>
                </c:pt>
                <c:pt idx="26">
                  <c:v>74500.350000000006</c:v>
                </c:pt>
                <c:pt idx="27">
                  <c:v>81000.55</c:v>
                </c:pt>
                <c:pt idx="28">
                  <c:v>115800</c:v>
                </c:pt>
                <c:pt idx="29">
                  <c:v>99500.75</c:v>
                </c:pt>
              </c:numCache>
            </c:numRef>
          </c:xVal>
          <c:yVal>
            <c:numRef>
              <c:f>Page001__2!$I$2:$I$35</c:f>
              <c:numCache>
                <c:formatCode>General</c:formatCode>
                <c:ptCount val="34"/>
                <c:pt idx="0">
                  <c:v>13.1</c:v>
                </c:pt>
                <c:pt idx="1">
                  <c:v>14.8</c:v>
                </c:pt>
                <c:pt idx="2">
                  <c:v>1.3</c:v>
                </c:pt>
                <c:pt idx="3">
                  <c:v>11.4</c:v>
                </c:pt>
                <c:pt idx="4">
                  <c:v>4.5</c:v>
                </c:pt>
                <c:pt idx="5">
                  <c:v>9.6999999999999993</c:v>
                </c:pt>
                <c:pt idx="6">
                  <c:v>6.1</c:v>
                </c:pt>
                <c:pt idx="7">
                  <c:v>12</c:v>
                </c:pt>
                <c:pt idx="8">
                  <c:v>3.9</c:v>
                </c:pt>
                <c:pt idx="9">
                  <c:v>14.2</c:v>
                </c:pt>
                <c:pt idx="10">
                  <c:v>5.7</c:v>
                </c:pt>
                <c:pt idx="11">
                  <c:v>2.1</c:v>
                </c:pt>
                <c:pt idx="12">
                  <c:v>8.5</c:v>
                </c:pt>
                <c:pt idx="13">
                  <c:v>7.3</c:v>
                </c:pt>
                <c:pt idx="14">
                  <c:v>10.199999999999999</c:v>
                </c:pt>
                <c:pt idx="15">
                  <c:v>4</c:v>
                </c:pt>
                <c:pt idx="16">
                  <c:v>9.5</c:v>
                </c:pt>
                <c:pt idx="17">
                  <c:v>2.5</c:v>
                </c:pt>
                <c:pt idx="18">
                  <c:v>15</c:v>
                </c:pt>
                <c:pt idx="19">
                  <c:v>3.3</c:v>
                </c:pt>
                <c:pt idx="20">
                  <c:v>6.9</c:v>
                </c:pt>
                <c:pt idx="21">
                  <c:v>5.2</c:v>
                </c:pt>
                <c:pt idx="22">
                  <c:v>14.6</c:v>
                </c:pt>
                <c:pt idx="23">
                  <c:v>3.1</c:v>
                </c:pt>
                <c:pt idx="24">
                  <c:v>7.7</c:v>
                </c:pt>
                <c:pt idx="25">
                  <c:v>11.1</c:v>
                </c:pt>
                <c:pt idx="26">
                  <c:v>8.1999999999999993</c:v>
                </c:pt>
                <c:pt idx="27">
                  <c:v>9.9</c:v>
                </c:pt>
                <c:pt idx="28">
                  <c:v>5.4</c:v>
                </c:pt>
                <c:pt idx="29">
                  <c:v>12.7</c:v>
                </c:pt>
              </c:numCache>
            </c:numRef>
          </c:yVal>
          <c:smooth val="0"/>
          <c:extLst>
            <c:ext xmlns:c16="http://schemas.microsoft.com/office/drawing/2014/chart" uri="{C3380CC4-5D6E-409C-BE32-E72D297353CC}">
              <c16:uniqueId val="{00000000-C38D-490B-87D3-EA58E7C62CC8}"/>
            </c:ext>
          </c:extLst>
        </c:ser>
        <c:dLbls>
          <c:showLegendKey val="0"/>
          <c:showVal val="0"/>
          <c:showCatName val="0"/>
          <c:showSerName val="0"/>
          <c:showPercent val="0"/>
          <c:showBubbleSize val="0"/>
        </c:dLbls>
        <c:axId val="624166383"/>
        <c:axId val="624165423"/>
      </c:scatterChart>
      <c:valAx>
        <c:axId val="624166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165423"/>
        <c:crosses val="autoZero"/>
        <c:crossBetween val="midCat"/>
      </c:valAx>
      <c:valAx>
        <c:axId val="62416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1663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[GlobalTechDashboard.xlsx]pivottable4!PivotTable12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pivottable4!$B$3:$B$4</c:f>
              <c:strCache>
                <c:ptCount val="1"/>
                <c:pt idx="0">
                  <c:v>Canada</c:v>
                </c:pt>
              </c:strCache>
            </c:strRef>
          </c:tx>
          <c:spPr>
            <a:solidFill>
              <a:schemeClr val="accent1"/>
            </a:solidFill>
            <a:ln>
              <a:noFill/>
            </a:ln>
            <a:effectLst/>
          </c:spPr>
          <c:invertIfNegative val="0"/>
          <c:cat>
            <c:strRef>
              <c:f>pivottable4!$A$5:$A$11</c:f>
              <c:strCache>
                <c:ptCount val="6"/>
                <c:pt idx="0">
                  <c:v>Finance</c:v>
                </c:pt>
                <c:pt idx="1">
                  <c:v>HR</c:v>
                </c:pt>
                <c:pt idx="2">
                  <c:v>IT</c:v>
                </c:pt>
                <c:pt idx="3">
                  <c:v>Marketing</c:v>
                </c:pt>
                <c:pt idx="4">
                  <c:v>Operations</c:v>
                </c:pt>
                <c:pt idx="5">
                  <c:v>Sales</c:v>
                </c:pt>
              </c:strCache>
            </c:strRef>
          </c:cat>
          <c:val>
            <c:numRef>
              <c:f>pivottable4!$B$5:$B$11</c:f>
              <c:numCache>
                <c:formatCode>General</c:formatCode>
                <c:ptCount val="6"/>
                <c:pt idx="0">
                  <c:v>4</c:v>
                </c:pt>
                <c:pt idx="1">
                  <c:v>1</c:v>
                </c:pt>
                <c:pt idx="5">
                  <c:v>2</c:v>
                </c:pt>
              </c:numCache>
            </c:numRef>
          </c:val>
          <c:extLst>
            <c:ext xmlns:c16="http://schemas.microsoft.com/office/drawing/2014/chart" uri="{C3380CC4-5D6E-409C-BE32-E72D297353CC}">
              <c16:uniqueId val="{00000000-3ECE-42FD-B5D8-4D73E6612420}"/>
            </c:ext>
          </c:extLst>
        </c:ser>
        <c:ser>
          <c:idx val="1"/>
          <c:order val="1"/>
          <c:tx>
            <c:strRef>
              <c:f>pivottable4!$C$3:$C$4</c:f>
              <c:strCache>
                <c:ptCount val="1"/>
                <c:pt idx="0">
                  <c:v>France</c:v>
                </c:pt>
              </c:strCache>
            </c:strRef>
          </c:tx>
          <c:spPr>
            <a:solidFill>
              <a:schemeClr val="accent2"/>
            </a:solidFill>
            <a:ln>
              <a:noFill/>
            </a:ln>
            <a:effectLst/>
          </c:spPr>
          <c:invertIfNegative val="0"/>
          <c:cat>
            <c:strRef>
              <c:f>pivottable4!$A$5:$A$11</c:f>
              <c:strCache>
                <c:ptCount val="6"/>
                <c:pt idx="0">
                  <c:v>Finance</c:v>
                </c:pt>
                <c:pt idx="1">
                  <c:v>HR</c:v>
                </c:pt>
                <c:pt idx="2">
                  <c:v>IT</c:v>
                </c:pt>
                <c:pt idx="3">
                  <c:v>Marketing</c:v>
                </c:pt>
                <c:pt idx="4">
                  <c:v>Operations</c:v>
                </c:pt>
                <c:pt idx="5">
                  <c:v>Sales</c:v>
                </c:pt>
              </c:strCache>
            </c:strRef>
          </c:cat>
          <c:val>
            <c:numRef>
              <c:f>pivottable4!$C$5:$C$11</c:f>
              <c:numCache>
                <c:formatCode>General</c:formatCode>
                <c:ptCount val="6"/>
                <c:pt idx="2">
                  <c:v>1</c:v>
                </c:pt>
                <c:pt idx="3">
                  <c:v>3</c:v>
                </c:pt>
              </c:numCache>
            </c:numRef>
          </c:val>
          <c:extLst>
            <c:ext xmlns:c16="http://schemas.microsoft.com/office/drawing/2014/chart" uri="{C3380CC4-5D6E-409C-BE32-E72D297353CC}">
              <c16:uniqueId val="{00000001-9B87-4658-8AC6-66B4E70CBD4F}"/>
            </c:ext>
          </c:extLst>
        </c:ser>
        <c:ser>
          <c:idx val="2"/>
          <c:order val="2"/>
          <c:tx>
            <c:strRef>
              <c:f>pivottable4!$D$3:$D$4</c:f>
              <c:strCache>
                <c:ptCount val="1"/>
                <c:pt idx="0">
                  <c:v>Germany</c:v>
                </c:pt>
              </c:strCache>
            </c:strRef>
          </c:tx>
          <c:spPr>
            <a:solidFill>
              <a:schemeClr val="accent3"/>
            </a:solidFill>
            <a:ln>
              <a:noFill/>
            </a:ln>
            <a:effectLst/>
          </c:spPr>
          <c:invertIfNegative val="0"/>
          <c:cat>
            <c:strRef>
              <c:f>pivottable4!$A$5:$A$11</c:f>
              <c:strCache>
                <c:ptCount val="6"/>
                <c:pt idx="0">
                  <c:v>Finance</c:v>
                </c:pt>
                <c:pt idx="1">
                  <c:v>HR</c:v>
                </c:pt>
                <c:pt idx="2">
                  <c:v>IT</c:v>
                </c:pt>
                <c:pt idx="3">
                  <c:v>Marketing</c:v>
                </c:pt>
                <c:pt idx="4">
                  <c:v>Operations</c:v>
                </c:pt>
                <c:pt idx="5">
                  <c:v>Sales</c:v>
                </c:pt>
              </c:strCache>
            </c:strRef>
          </c:cat>
          <c:val>
            <c:numRef>
              <c:f>pivottable4!$D$5:$D$11</c:f>
              <c:numCache>
                <c:formatCode>General</c:formatCode>
                <c:ptCount val="6"/>
                <c:pt idx="3">
                  <c:v>1</c:v>
                </c:pt>
                <c:pt idx="5">
                  <c:v>1</c:v>
                </c:pt>
              </c:numCache>
            </c:numRef>
          </c:val>
          <c:extLst>
            <c:ext xmlns:c16="http://schemas.microsoft.com/office/drawing/2014/chart" uri="{C3380CC4-5D6E-409C-BE32-E72D297353CC}">
              <c16:uniqueId val="{00000002-9B87-4658-8AC6-66B4E70CBD4F}"/>
            </c:ext>
          </c:extLst>
        </c:ser>
        <c:ser>
          <c:idx val="3"/>
          <c:order val="3"/>
          <c:tx>
            <c:strRef>
              <c:f>pivottable4!$E$3:$E$4</c:f>
              <c:strCache>
                <c:ptCount val="1"/>
                <c:pt idx="0">
                  <c:v>India</c:v>
                </c:pt>
              </c:strCache>
            </c:strRef>
          </c:tx>
          <c:spPr>
            <a:solidFill>
              <a:schemeClr val="accent4"/>
            </a:solidFill>
            <a:ln>
              <a:noFill/>
            </a:ln>
            <a:effectLst/>
          </c:spPr>
          <c:invertIfNegative val="0"/>
          <c:cat>
            <c:strRef>
              <c:f>pivottable4!$A$5:$A$11</c:f>
              <c:strCache>
                <c:ptCount val="6"/>
                <c:pt idx="0">
                  <c:v>Finance</c:v>
                </c:pt>
                <c:pt idx="1">
                  <c:v>HR</c:v>
                </c:pt>
                <c:pt idx="2">
                  <c:v>IT</c:v>
                </c:pt>
                <c:pt idx="3">
                  <c:v>Marketing</c:v>
                </c:pt>
                <c:pt idx="4">
                  <c:v>Operations</c:v>
                </c:pt>
                <c:pt idx="5">
                  <c:v>Sales</c:v>
                </c:pt>
              </c:strCache>
            </c:strRef>
          </c:cat>
          <c:val>
            <c:numRef>
              <c:f>pivottable4!$E$5:$E$11</c:f>
              <c:numCache>
                <c:formatCode>General</c:formatCode>
                <c:ptCount val="6"/>
                <c:pt idx="0">
                  <c:v>1</c:v>
                </c:pt>
                <c:pt idx="2">
                  <c:v>4</c:v>
                </c:pt>
              </c:numCache>
            </c:numRef>
          </c:val>
          <c:extLst>
            <c:ext xmlns:c16="http://schemas.microsoft.com/office/drawing/2014/chart" uri="{C3380CC4-5D6E-409C-BE32-E72D297353CC}">
              <c16:uniqueId val="{00000003-9B87-4658-8AC6-66B4E70CBD4F}"/>
            </c:ext>
          </c:extLst>
        </c:ser>
        <c:ser>
          <c:idx val="4"/>
          <c:order val="4"/>
          <c:tx>
            <c:strRef>
              <c:f>pivottable4!$F$3:$F$4</c:f>
              <c:strCache>
                <c:ptCount val="1"/>
                <c:pt idx="0">
                  <c:v>UK</c:v>
                </c:pt>
              </c:strCache>
            </c:strRef>
          </c:tx>
          <c:spPr>
            <a:solidFill>
              <a:schemeClr val="accent5"/>
            </a:solidFill>
            <a:ln>
              <a:noFill/>
            </a:ln>
            <a:effectLst/>
          </c:spPr>
          <c:invertIfNegative val="0"/>
          <c:cat>
            <c:strRef>
              <c:f>pivottable4!$A$5:$A$11</c:f>
              <c:strCache>
                <c:ptCount val="6"/>
                <c:pt idx="0">
                  <c:v>Finance</c:v>
                </c:pt>
                <c:pt idx="1">
                  <c:v>HR</c:v>
                </c:pt>
                <c:pt idx="2">
                  <c:v>IT</c:v>
                </c:pt>
                <c:pt idx="3">
                  <c:v>Marketing</c:v>
                </c:pt>
                <c:pt idx="4">
                  <c:v>Operations</c:v>
                </c:pt>
                <c:pt idx="5">
                  <c:v>Sales</c:v>
                </c:pt>
              </c:strCache>
            </c:strRef>
          </c:cat>
          <c:val>
            <c:numRef>
              <c:f>pivottable4!$F$5:$F$11</c:f>
              <c:numCache>
                <c:formatCode>General</c:formatCode>
                <c:ptCount val="6"/>
                <c:pt idx="2">
                  <c:v>2</c:v>
                </c:pt>
                <c:pt idx="3">
                  <c:v>1</c:v>
                </c:pt>
                <c:pt idx="5">
                  <c:v>2</c:v>
                </c:pt>
              </c:numCache>
            </c:numRef>
          </c:val>
          <c:extLst>
            <c:ext xmlns:c16="http://schemas.microsoft.com/office/drawing/2014/chart" uri="{C3380CC4-5D6E-409C-BE32-E72D297353CC}">
              <c16:uniqueId val="{00000004-9B87-4658-8AC6-66B4E70CBD4F}"/>
            </c:ext>
          </c:extLst>
        </c:ser>
        <c:ser>
          <c:idx val="5"/>
          <c:order val="5"/>
          <c:tx>
            <c:strRef>
              <c:f>pivottable4!$G$3:$G$4</c:f>
              <c:strCache>
                <c:ptCount val="1"/>
                <c:pt idx="0">
                  <c:v>USA</c:v>
                </c:pt>
              </c:strCache>
            </c:strRef>
          </c:tx>
          <c:spPr>
            <a:solidFill>
              <a:schemeClr val="accent6"/>
            </a:solidFill>
            <a:ln>
              <a:noFill/>
            </a:ln>
            <a:effectLst/>
          </c:spPr>
          <c:invertIfNegative val="0"/>
          <c:cat>
            <c:strRef>
              <c:f>pivottable4!$A$5:$A$11</c:f>
              <c:strCache>
                <c:ptCount val="6"/>
                <c:pt idx="0">
                  <c:v>Finance</c:v>
                </c:pt>
                <c:pt idx="1">
                  <c:v>HR</c:v>
                </c:pt>
                <c:pt idx="2">
                  <c:v>IT</c:v>
                </c:pt>
                <c:pt idx="3">
                  <c:v>Marketing</c:v>
                </c:pt>
                <c:pt idx="4">
                  <c:v>Operations</c:v>
                </c:pt>
                <c:pt idx="5">
                  <c:v>Sales</c:v>
                </c:pt>
              </c:strCache>
            </c:strRef>
          </c:cat>
          <c:val>
            <c:numRef>
              <c:f>pivottable4!$G$5:$G$11</c:f>
              <c:numCache>
                <c:formatCode>General</c:formatCode>
                <c:ptCount val="6"/>
                <c:pt idx="1">
                  <c:v>3</c:v>
                </c:pt>
                <c:pt idx="2">
                  <c:v>2</c:v>
                </c:pt>
                <c:pt idx="4">
                  <c:v>2</c:v>
                </c:pt>
              </c:numCache>
            </c:numRef>
          </c:val>
          <c:extLst>
            <c:ext xmlns:c16="http://schemas.microsoft.com/office/drawing/2014/chart" uri="{C3380CC4-5D6E-409C-BE32-E72D297353CC}">
              <c16:uniqueId val="{00000005-9B87-4658-8AC6-66B4E70CBD4F}"/>
            </c:ext>
          </c:extLst>
        </c:ser>
        <c:dLbls>
          <c:showLegendKey val="0"/>
          <c:showVal val="0"/>
          <c:showCatName val="0"/>
          <c:showSerName val="0"/>
          <c:showPercent val="0"/>
          <c:showBubbleSize val="0"/>
        </c:dLbls>
        <c:gapWidth val="150"/>
        <c:overlap val="100"/>
        <c:axId val="1743240112"/>
        <c:axId val="1743241072"/>
      </c:barChart>
      <c:catAx>
        <c:axId val="174324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241072"/>
        <c:crosses val="autoZero"/>
        <c:auto val="1"/>
        <c:lblAlgn val="ctr"/>
        <c:lblOffset val="100"/>
        <c:noMultiLvlLbl val="0"/>
      </c:catAx>
      <c:valAx>
        <c:axId val="1743241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24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[GlobalTechDashboard.xlsx]pivot table3!PivotTable10</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Employee</a:t>
            </a:r>
            <a:r>
              <a:rPr lang="en-US" baseline="0"/>
              <a:t> dist. by country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13463651789289049"/>
          <c:y val="0.40735976586997424"/>
          <c:w val="0.4591447255533736"/>
          <c:h val="0.41952825587067105"/>
        </c:manualLayout>
      </c:layout>
      <c:pieChart>
        <c:varyColors val="1"/>
        <c:ser>
          <c:idx val="0"/>
          <c:order val="0"/>
          <c:tx>
            <c:strRef>
              <c:f>'pivot table3'!$B$3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BE0-41D6-8E26-D65BD6596E6D}"/>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BE0-41D6-8E26-D65BD6596E6D}"/>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EBE0-41D6-8E26-D65BD6596E6D}"/>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EBE0-41D6-8E26-D65BD6596E6D}"/>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EBE0-41D6-8E26-D65BD6596E6D}"/>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EBE0-41D6-8E26-D65BD6596E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table3'!$A$4:$A$10</c:f>
              <c:strCache>
                <c:ptCount val="6"/>
                <c:pt idx="0">
                  <c:v>USA</c:v>
                </c:pt>
                <c:pt idx="1">
                  <c:v>UK</c:v>
                </c:pt>
                <c:pt idx="2">
                  <c:v>India</c:v>
                </c:pt>
                <c:pt idx="3">
                  <c:v>Germany</c:v>
                </c:pt>
                <c:pt idx="4">
                  <c:v>France</c:v>
                </c:pt>
                <c:pt idx="5">
                  <c:v>Canada</c:v>
                </c:pt>
              </c:strCache>
            </c:strRef>
          </c:cat>
          <c:val>
            <c:numRef>
              <c:f>'pivot table3'!$B$4:$B$10</c:f>
              <c:numCache>
                <c:formatCode>General</c:formatCode>
                <c:ptCount val="6"/>
                <c:pt idx="0">
                  <c:v>7</c:v>
                </c:pt>
                <c:pt idx="1">
                  <c:v>5</c:v>
                </c:pt>
                <c:pt idx="2">
                  <c:v>5</c:v>
                </c:pt>
                <c:pt idx="3">
                  <c:v>2</c:v>
                </c:pt>
                <c:pt idx="4">
                  <c:v>4</c:v>
                </c:pt>
                <c:pt idx="5">
                  <c:v>7</c:v>
                </c:pt>
              </c:numCache>
            </c:numRef>
          </c:val>
          <c:extLst>
            <c:ext xmlns:c16="http://schemas.microsoft.com/office/drawing/2014/chart" uri="{C3380CC4-5D6E-409C-BE32-E72D297353CC}">
              <c16:uniqueId val="{0000000C-EBE0-41D6-8E26-D65BD6596E6D}"/>
            </c:ext>
          </c:extLst>
        </c:ser>
        <c:dLbls>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[GlobalTechDashboard.xlsx]pivot table1!PivotTable6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table1'!$B$3</c:f>
              <c:strCache>
                <c:ptCount val="1"/>
                <c:pt idx="0">
                  <c:v>Total</c:v>
                </c:pt>
              </c:strCache>
            </c:strRef>
          </c:tx>
          <c:spPr>
            <a:solidFill>
              <a:schemeClr val="accent1"/>
            </a:solidFill>
            <a:ln>
              <a:noFill/>
            </a:ln>
            <a:effectLst/>
          </c:spPr>
          <c:invertIfNegative val="0"/>
          <c:cat>
            <c:strRef>
              <c:f>'pivot table1'!$A$4:$A$10</c:f>
              <c:strCache>
                <c:ptCount val="6"/>
                <c:pt idx="0">
                  <c:v>Operations</c:v>
                </c:pt>
                <c:pt idx="1">
                  <c:v>Finance</c:v>
                </c:pt>
                <c:pt idx="2">
                  <c:v>HR</c:v>
                </c:pt>
                <c:pt idx="3">
                  <c:v>IT</c:v>
                </c:pt>
                <c:pt idx="4">
                  <c:v>Marketing</c:v>
                </c:pt>
                <c:pt idx="5">
                  <c:v>Sales</c:v>
                </c:pt>
              </c:strCache>
            </c:strRef>
          </c:cat>
          <c:val>
            <c:numRef>
              <c:f>'pivot table1'!$B$4:$B$10</c:f>
              <c:numCache>
                <c:formatCode>General</c:formatCode>
                <c:ptCount val="6"/>
                <c:pt idx="0">
                  <c:v>13</c:v>
                </c:pt>
                <c:pt idx="1">
                  <c:v>10.559999999999999</c:v>
                </c:pt>
                <c:pt idx="2">
                  <c:v>8.75</c:v>
                </c:pt>
                <c:pt idx="3">
                  <c:v>7.5333333333333332</c:v>
                </c:pt>
                <c:pt idx="4">
                  <c:v>7.1199999999999992</c:v>
                </c:pt>
                <c:pt idx="5">
                  <c:v>5.34</c:v>
                </c:pt>
              </c:numCache>
            </c:numRef>
          </c:val>
          <c:extLst>
            <c:ext xmlns:c16="http://schemas.microsoft.com/office/drawing/2014/chart" uri="{C3380CC4-5D6E-409C-BE32-E72D297353CC}">
              <c16:uniqueId val="{00000000-8539-4BD7-8B07-59B04B457030}"/>
            </c:ext>
          </c:extLst>
        </c:ser>
        <c:dLbls>
          <c:showLegendKey val="0"/>
          <c:showVal val="0"/>
          <c:showCatName val="0"/>
          <c:showSerName val="0"/>
          <c:showPercent val="0"/>
          <c:showBubbleSize val="0"/>
        </c:dLbls>
        <c:gapWidth val="182"/>
        <c:axId val="629477696"/>
        <c:axId val="629475296"/>
      </c:barChart>
      <c:catAx>
        <c:axId val="62947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75296"/>
        <c:crosses val="autoZero"/>
        <c:auto val="1"/>
        <c:lblAlgn val="ctr"/>
        <c:lblOffset val="100"/>
        <c:noMultiLvlLbl val="0"/>
      </c:catAx>
      <c:valAx>
        <c:axId val="62947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47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[GlobalTechDashboard.xlsx]PT_Hiring!PivotTable19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Hiring</a:t>
            </a:r>
            <a:r>
              <a:rPr lang="en-US" baseline="0"/>
              <a:t> trend</a:t>
            </a:r>
            <a:endParaRPr lang="en-US"/>
          </a:p>
        </c:rich>
      </c:tx>
      <c:layout>
        <c:manualLayout>
          <c:xMode val="edge"/>
          <c:yMode val="edge"/>
          <c:x val="0.45760411198600182"/>
          <c:y val="0.1300769607188931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0314960629921E-2"/>
          <c:y val="0.26420231527241361"/>
          <c:w val="0.74312685914260712"/>
          <c:h val="0.53650471855824799"/>
        </c:manualLayout>
      </c:layout>
      <c:lineChart>
        <c:grouping val="standard"/>
        <c:varyColors val="0"/>
        <c:ser>
          <c:idx val="0"/>
          <c:order val="0"/>
          <c:tx>
            <c:strRef>
              <c:f>PT_Hiring!$B$3</c:f>
              <c:strCache>
                <c:ptCount val="1"/>
                <c:pt idx="0">
                  <c:v>Total</c:v>
                </c:pt>
              </c:strCache>
            </c:strRef>
          </c:tx>
          <c:spPr>
            <a:ln w="28575" cap="rnd">
              <a:solidFill>
                <a:schemeClr val="accent1"/>
              </a:solidFill>
              <a:round/>
            </a:ln>
            <a:effectLst/>
          </c:spPr>
          <c:marker>
            <c:symbol val="none"/>
          </c:marker>
          <c:cat>
            <c:strRef>
              <c:f>PT_Hiring!$A$4:$A$15</c:f>
              <c:strCache>
                <c:ptCount val="11"/>
                <c:pt idx="0">
                  <c:v>2012</c:v>
                </c:pt>
                <c:pt idx="1">
                  <c:v>2013</c:v>
                </c:pt>
                <c:pt idx="2">
                  <c:v>2014</c:v>
                </c:pt>
                <c:pt idx="3">
                  <c:v>2015</c:v>
                </c:pt>
                <c:pt idx="4">
                  <c:v>2016</c:v>
                </c:pt>
                <c:pt idx="5">
                  <c:v>2017</c:v>
                </c:pt>
                <c:pt idx="6">
                  <c:v>2018</c:v>
                </c:pt>
                <c:pt idx="7">
                  <c:v>2019</c:v>
                </c:pt>
                <c:pt idx="8">
                  <c:v>2020</c:v>
                </c:pt>
                <c:pt idx="9">
                  <c:v>2021</c:v>
                </c:pt>
                <c:pt idx="10">
                  <c:v>2022</c:v>
                </c:pt>
              </c:strCache>
            </c:strRef>
          </c:cat>
          <c:val>
            <c:numRef>
              <c:f>PT_Hiring!$B$4:$B$15</c:f>
              <c:numCache>
                <c:formatCode>General</c:formatCode>
                <c:ptCount val="11"/>
                <c:pt idx="0">
                  <c:v>2</c:v>
                </c:pt>
                <c:pt idx="1">
                  <c:v>3</c:v>
                </c:pt>
                <c:pt idx="2">
                  <c:v>3</c:v>
                </c:pt>
                <c:pt idx="3">
                  <c:v>3</c:v>
                </c:pt>
                <c:pt idx="4">
                  <c:v>4</c:v>
                </c:pt>
                <c:pt idx="5">
                  <c:v>3</c:v>
                </c:pt>
                <c:pt idx="6">
                  <c:v>4</c:v>
                </c:pt>
                <c:pt idx="7">
                  <c:v>4</c:v>
                </c:pt>
                <c:pt idx="8">
                  <c:v>2</c:v>
                </c:pt>
                <c:pt idx="9">
                  <c:v>1</c:v>
                </c:pt>
                <c:pt idx="10">
                  <c:v>1</c:v>
                </c:pt>
              </c:numCache>
            </c:numRef>
          </c:val>
          <c:smooth val="0"/>
          <c:extLst>
            <c:ext xmlns:c16="http://schemas.microsoft.com/office/drawing/2014/chart" uri="{C3380CC4-5D6E-409C-BE32-E72D297353CC}">
              <c16:uniqueId val="{00000000-98F8-4916-A50F-C5447B84ABAB}"/>
            </c:ext>
          </c:extLst>
        </c:ser>
        <c:dLbls>
          <c:showLegendKey val="0"/>
          <c:showVal val="0"/>
          <c:showCatName val="0"/>
          <c:showSerName val="0"/>
          <c:showPercent val="0"/>
          <c:showBubbleSize val="0"/>
        </c:dLbls>
        <c:smooth val="0"/>
        <c:axId val="128684927"/>
        <c:axId val="128685887"/>
      </c:lineChart>
      <c:catAx>
        <c:axId val="12868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85887"/>
        <c:crosses val="autoZero"/>
        <c:auto val="1"/>
        <c:lblAlgn val="ctr"/>
        <c:lblOffset val="100"/>
        <c:noMultiLvlLbl val="0"/>
      </c:catAx>
      <c:valAx>
        <c:axId val="12868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8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[GlobalTechDashboard.xlsx]pivottable9!PivotTable22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pivottable9!$B$3</c:f>
              <c:strCache>
                <c:ptCount val="1"/>
                <c:pt idx="0">
                  <c:v>Sum of Salary</c:v>
                </c:pt>
              </c:strCache>
            </c:strRef>
          </c:tx>
          <c:spPr>
            <a:solidFill>
              <a:schemeClr val="accent1"/>
            </a:solidFill>
            <a:ln>
              <a:noFill/>
            </a:ln>
            <a:effectLst/>
          </c:spPr>
          <c:invertIfNegative val="0"/>
          <c:cat>
            <c:strRef>
              <c:f>pivottable9!$A$4:$A$10</c:f>
              <c:strCache>
                <c:ptCount val="6"/>
                <c:pt idx="0">
                  <c:v>Finance</c:v>
                </c:pt>
                <c:pt idx="1">
                  <c:v>HR</c:v>
                </c:pt>
                <c:pt idx="2">
                  <c:v>IT</c:v>
                </c:pt>
                <c:pt idx="3">
                  <c:v>Marketing</c:v>
                </c:pt>
                <c:pt idx="4">
                  <c:v>Operations</c:v>
                </c:pt>
                <c:pt idx="5">
                  <c:v>Sales</c:v>
                </c:pt>
              </c:strCache>
            </c:strRef>
          </c:cat>
          <c:val>
            <c:numRef>
              <c:f>pivottable9!$B$4:$B$10</c:f>
              <c:numCache>
                <c:formatCode>"$"#,##0.00</c:formatCode>
                <c:ptCount val="6"/>
                <c:pt idx="0">
                  <c:v>458763.23</c:v>
                </c:pt>
                <c:pt idx="1">
                  <c:v>320102.25</c:v>
                </c:pt>
                <c:pt idx="2">
                  <c:v>1019641.2199999999</c:v>
                </c:pt>
                <c:pt idx="3">
                  <c:v>391002.3</c:v>
                </c:pt>
                <c:pt idx="4">
                  <c:v>260300.95</c:v>
                </c:pt>
                <c:pt idx="5">
                  <c:v>451525.25</c:v>
                </c:pt>
              </c:numCache>
            </c:numRef>
          </c:val>
          <c:extLst>
            <c:ext xmlns:c16="http://schemas.microsoft.com/office/drawing/2014/chart" uri="{C3380CC4-5D6E-409C-BE32-E72D297353CC}">
              <c16:uniqueId val="{00000000-4AA2-402F-B37F-6B1FDD53A972}"/>
            </c:ext>
          </c:extLst>
        </c:ser>
        <c:dLbls>
          <c:showLegendKey val="0"/>
          <c:showVal val="0"/>
          <c:showCatName val="0"/>
          <c:showSerName val="0"/>
          <c:showPercent val="0"/>
          <c:showBubbleSize val="0"/>
        </c:dLbls>
        <c:gapWidth val="219"/>
        <c:overlap val="-27"/>
        <c:axId val="636070800"/>
        <c:axId val="636068400"/>
      </c:barChart>
      <c:lineChart>
        <c:grouping val="standard"/>
        <c:varyColors val="0"/>
        <c:ser>
          <c:idx val="1"/>
          <c:order val="1"/>
          <c:tx>
            <c:strRef>
              <c:f>pivottable9!$C$3</c:f>
              <c:strCache>
                <c:ptCount val="1"/>
                <c:pt idx="0">
                  <c:v>Average of Salary</c:v>
                </c:pt>
              </c:strCache>
            </c:strRef>
          </c:tx>
          <c:spPr>
            <a:ln w="28575" cap="rnd">
              <a:solidFill>
                <a:schemeClr val="accent2"/>
              </a:solidFill>
              <a:round/>
            </a:ln>
            <a:effectLst/>
          </c:spPr>
          <c:marker>
            <c:symbol val="none"/>
          </c:marker>
          <c:cat>
            <c:strRef>
              <c:f>pivottable9!$A$4:$A$10</c:f>
              <c:strCache>
                <c:ptCount val="6"/>
                <c:pt idx="0">
                  <c:v>Finance</c:v>
                </c:pt>
                <c:pt idx="1">
                  <c:v>HR</c:v>
                </c:pt>
                <c:pt idx="2">
                  <c:v>IT</c:v>
                </c:pt>
                <c:pt idx="3">
                  <c:v>Marketing</c:v>
                </c:pt>
                <c:pt idx="4">
                  <c:v>Operations</c:v>
                </c:pt>
                <c:pt idx="5">
                  <c:v>Sales</c:v>
                </c:pt>
              </c:strCache>
            </c:strRef>
          </c:cat>
          <c:val>
            <c:numRef>
              <c:f>pivottable9!$C$4:$C$10</c:f>
              <c:numCache>
                <c:formatCode>"$"#,##0.00</c:formatCode>
                <c:ptCount val="6"/>
                <c:pt idx="0">
                  <c:v>91752.645999999993</c:v>
                </c:pt>
                <c:pt idx="1">
                  <c:v>80025.5625</c:v>
                </c:pt>
                <c:pt idx="2">
                  <c:v>113293.46888888888</c:v>
                </c:pt>
                <c:pt idx="3">
                  <c:v>78200.459999999992</c:v>
                </c:pt>
                <c:pt idx="4">
                  <c:v>130150.47500000001</c:v>
                </c:pt>
                <c:pt idx="5">
                  <c:v>90305.05</c:v>
                </c:pt>
              </c:numCache>
            </c:numRef>
          </c:val>
          <c:smooth val="0"/>
          <c:extLst>
            <c:ext xmlns:c16="http://schemas.microsoft.com/office/drawing/2014/chart" uri="{C3380CC4-5D6E-409C-BE32-E72D297353CC}">
              <c16:uniqueId val="{00000001-4AA2-402F-B37F-6B1FDD53A972}"/>
            </c:ext>
          </c:extLst>
        </c:ser>
        <c:dLbls>
          <c:showLegendKey val="0"/>
          <c:showVal val="0"/>
          <c:showCatName val="0"/>
          <c:showSerName val="0"/>
          <c:showPercent val="0"/>
          <c:showBubbleSize val="0"/>
        </c:dLbls>
        <c:marker val="1"/>
        <c:smooth val="0"/>
        <c:axId val="675706319"/>
        <c:axId val="675704879"/>
      </c:lineChart>
      <c:catAx>
        <c:axId val="63607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068400"/>
        <c:crosses val="autoZero"/>
        <c:auto val="1"/>
        <c:lblAlgn val="ctr"/>
        <c:lblOffset val="100"/>
        <c:noMultiLvlLbl val="0"/>
      </c:catAx>
      <c:valAx>
        <c:axId val="636068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070800"/>
        <c:crosses val="autoZero"/>
        <c:crossBetween val="between"/>
      </c:valAx>
      <c:valAx>
        <c:axId val="675704879"/>
        <c:scaling>
          <c:orientation val="minMax"/>
        </c:scaling>
        <c:delete val="0"/>
        <c:axPos val="r"/>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706319"/>
        <c:crosses val="max"/>
        <c:crossBetween val="between"/>
      </c:valAx>
      <c:catAx>
        <c:axId val="675706319"/>
        <c:scaling>
          <c:orientation val="minMax"/>
        </c:scaling>
        <c:delete val="1"/>
        <c:axPos val="b"/>
        <c:numFmt formatCode="General" sourceLinked="1"/>
        <c:majorTickMark val="out"/>
        <c:minorTickMark val="none"/>
        <c:tickLblPos val="nextTo"/>
        <c:crossAx val="6757048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[GlobalTechDashboard.xlsx]PT_City!PivotTable21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Workforce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PT_City!$B$3</c:f>
              <c:strCache>
                <c:ptCount val="1"/>
                <c:pt idx="0">
                  <c:v>Total</c:v>
                </c:pt>
              </c:strCache>
            </c:strRef>
          </c:tx>
          <c:spPr>
            <a:solidFill>
              <a:schemeClr val="accent1"/>
            </a:solidFill>
            <a:ln>
              <a:noFill/>
            </a:ln>
            <a:effectLst/>
          </c:spPr>
          <c:invertIfNegative val="0"/>
          <c:cat>
            <c:strRef>
              <c:f>PT_City!$A$4:$A$27</c:f>
              <c:strCache>
                <c:ptCount val="23"/>
                <c:pt idx="0">
                  <c:v>Toronto</c:v>
                </c:pt>
                <c:pt idx="1">
                  <c:v>Paris</c:v>
                </c:pt>
                <c:pt idx="2">
                  <c:v>Berlin</c:v>
                </c:pt>
                <c:pt idx="3">
                  <c:v>Chicago</c:v>
                </c:pt>
                <c:pt idx="4">
                  <c:v>Liverpool</c:v>
                </c:pt>
                <c:pt idx="5">
                  <c:v>Bristol</c:v>
                </c:pt>
                <c:pt idx="6">
                  <c:v>Ottawa</c:v>
                </c:pt>
                <c:pt idx="7">
                  <c:v>Hamburg</c:v>
                </c:pt>
                <c:pt idx="8">
                  <c:v>New York</c:v>
                </c:pt>
                <c:pt idx="9">
                  <c:v>Vancouver</c:v>
                </c:pt>
                <c:pt idx="10">
                  <c:v>Mumbai</c:v>
                </c:pt>
                <c:pt idx="11">
                  <c:v>Hyderabad</c:v>
                </c:pt>
                <c:pt idx="12">
                  <c:v>Montreal</c:v>
                </c:pt>
                <c:pt idx="13">
                  <c:v>Delhi</c:v>
                </c:pt>
                <c:pt idx="14">
                  <c:v>Miami</c:v>
                </c:pt>
                <c:pt idx="15">
                  <c:v>Chennai</c:v>
                </c:pt>
                <c:pt idx="16">
                  <c:v>Boston</c:v>
                </c:pt>
                <c:pt idx="17">
                  <c:v>San Francisco</c:v>
                </c:pt>
                <c:pt idx="18">
                  <c:v>Bangalore</c:v>
                </c:pt>
                <c:pt idx="19">
                  <c:v>Manchester</c:v>
                </c:pt>
                <c:pt idx="20">
                  <c:v>Atlanta</c:v>
                </c:pt>
                <c:pt idx="21">
                  <c:v>Lyon</c:v>
                </c:pt>
                <c:pt idx="22">
                  <c:v>London</c:v>
                </c:pt>
              </c:strCache>
            </c:strRef>
          </c:cat>
          <c:val>
            <c:numRef>
              <c:f>PT_City!$B$4:$B$27</c:f>
              <c:numCache>
                <c:formatCode>General</c:formatCode>
                <c:ptCount val="23"/>
                <c:pt idx="0">
                  <c:v>3</c:v>
                </c:pt>
                <c:pt idx="1">
                  <c:v>3</c:v>
                </c:pt>
                <c:pt idx="2">
                  <c:v>3</c:v>
                </c:pt>
                <c:pt idx="3">
                  <c:v>2</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val>
          <c:extLst>
            <c:ext xmlns:c16="http://schemas.microsoft.com/office/drawing/2014/chart" uri="{C3380CC4-5D6E-409C-BE32-E72D297353CC}">
              <c16:uniqueId val="{00000000-04D8-49A2-8F25-F8486664F52E}"/>
            </c:ext>
          </c:extLst>
        </c:ser>
        <c:dLbls>
          <c:showLegendKey val="0"/>
          <c:showVal val="0"/>
          <c:showCatName val="0"/>
          <c:showSerName val="0"/>
          <c:showPercent val="0"/>
          <c:showBubbleSize val="0"/>
        </c:dLbls>
        <c:gapWidth val="219"/>
        <c:overlap val="-27"/>
        <c:axId val="692139631"/>
        <c:axId val="692141551"/>
      </c:barChart>
      <c:catAx>
        <c:axId val="69213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141551"/>
        <c:crosses val="autoZero"/>
        <c:auto val="1"/>
        <c:lblAlgn val="ctr"/>
        <c:lblOffset val="100"/>
        <c:noMultiLvlLbl val="0"/>
      </c:catAx>
      <c:valAx>
        <c:axId val="69214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13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[GlobalTechDashboard.xlsx]PT_City!PivotTable23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Salary</a:t>
            </a:r>
            <a:r>
              <a:rPr lang="en-US" baseline="0"/>
              <a:t> Expense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13648293963254"/>
          <c:y val="0.15782407407407409"/>
          <c:w val="0.68849868766404199"/>
          <c:h val="0.57076844561096529"/>
        </c:manualLayout>
      </c:layout>
      <c:barChart>
        <c:barDir val="col"/>
        <c:grouping val="clustered"/>
        <c:varyColors val="0"/>
        <c:ser>
          <c:idx val="0"/>
          <c:order val="0"/>
          <c:tx>
            <c:strRef>
              <c:f>PT_City!$F$10</c:f>
              <c:strCache>
                <c:ptCount val="1"/>
                <c:pt idx="0">
                  <c:v>Total</c:v>
                </c:pt>
              </c:strCache>
            </c:strRef>
          </c:tx>
          <c:spPr>
            <a:solidFill>
              <a:schemeClr val="accent1"/>
            </a:solidFill>
            <a:ln>
              <a:noFill/>
            </a:ln>
            <a:effectLst/>
          </c:spPr>
          <c:invertIfNegative val="0"/>
          <c:cat>
            <c:strRef>
              <c:f>PT_City!$E$11:$E$34</c:f>
              <c:strCache>
                <c:ptCount val="23"/>
                <c:pt idx="0">
                  <c:v>Berlin</c:v>
                </c:pt>
                <c:pt idx="1">
                  <c:v>Paris</c:v>
                </c:pt>
                <c:pt idx="2">
                  <c:v>Toronto</c:v>
                </c:pt>
                <c:pt idx="3">
                  <c:v>Chicago</c:v>
                </c:pt>
                <c:pt idx="4">
                  <c:v>San Francisco</c:v>
                </c:pt>
                <c:pt idx="5">
                  <c:v>Bangalore</c:v>
                </c:pt>
                <c:pt idx="6">
                  <c:v>New York</c:v>
                </c:pt>
                <c:pt idx="7">
                  <c:v>Mumbai</c:v>
                </c:pt>
                <c:pt idx="8">
                  <c:v>Chennai</c:v>
                </c:pt>
                <c:pt idx="9">
                  <c:v>Delhi</c:v>
                </c:pt>
                <c:pt idx="10">
                  <c:v>London</c:v>
                </c:pt>
                <c:pt idx="11">
                  <c:v>Manchester</c:v>
                </c:pt>
                <c:pt idx="12">
                  <c:v>Vancouver</c:v>
                </c:pt>
                <c:pt idx="13">
                  <c:v>Liverpool</c:v>
                </c:pt>
                <c:pt idx="14">
                  <c:v>Hyderabad</c:v>
                </c:pt>
                <c:pt idx="15">
                  <c:v>Montreal</c:v>
                </c:pt>
                <c:pt idx="16">
                  <c:v>Atlanta</c:v>
                </c:pt>
                <c:pt idx="17">
                  <c:v>Ottawa</c:v>
                </c:pt>
                <c:pt idx="18">
                  <c:v>Miami</c:v>
                </c:pt>
                <c:pt idx="19">
                  <c:v>Hamburg</c:v>
                </c:pt>
                <c:pt idx="20">
                  <c:v>Boston</c:v>
                </c:pt>
                <c:pt idx="21">
                  <c:v>Lyon</c:v>
                </c:pt>
                <c:pt idx="22">
                  <c:v>Bristol</c:v>
                </c:pt>
              </c:strCache>
            </c:strRef>
          </c:cat>
          <c:val>
            <c:numRef>
              <c:f>PT_City!$F$11:$F$34</c:f>
              <c:numCache>
                <c:formatCode>"$"#,##0.00</c:formatCode>
                <c:ptCount val="23"/>
                <c:pt idx="0">
                  <c:v>315211.81999999995</c:v>
                </c:pt>
                <c:pt idx="1">
                  <c:v>289801.05</c:v>
                </c:pt>
                <c:pt idx="2">
                  <c:v>265361.88</c:v>
                </c:pt>
                <c:pt idx="3">
                  <c:v>212400.35</c:v>
                </c:pt>
                <c:pt idx="4">
                  <c:v>134800.95000000001</c:v>
                </c:pt>
                <c:pt idx="5">
                  <c:v>125700.85</c:v>
                </c:pt>
                <c:pt idx="6">
                  <c:v>125500</c:v>
                </c:pt>
                <c:pt idx="7">
                  <c:v>121300.1</c:v>
                </c:pt>
                <c:pt idx="8">
                  <c:v>115800</c:v>
                </c:pt>
                <c:pt idx="9">
                  <c:v>115450.5</c:v>
                </c:pt>
                <c:pt idx="10">
                  <c:v>109500.25</c:v>
                </c:pt>
                <c:pt idx="11">
                  <c:v>104500.7</c:v>
                </c:pt>
                <c:pt idx="12">
                  <c:v>99800.75</c:v>
                </c:pt>
                <c:pt idx="13">
                  <c:v>99500.75</c:v>
                </c:pt>
                <c:pt idx="14">
                  <c:v>93600.6</c:v>
                </c:pt>
                <c:pt idx="15">
                  <c:v>89400.8</c:v>
                </c:pt>
                <c:pt idx="16">
                  <c:v>81000.55</c:v>
                </c:pt>
                <c:pt idx="17">
                  <c:v>74500.350000000006</c:v>
                </c:pt>
                <c:pt idx="18">
                  <c:v>71500.55</c:v>
                </c:pt>
                <c:pt idx="19">
                  <c:v>69800.25</c:v>
                </c:pt>
                <c:pt idx="20">
                  <c:v>68500.899999999994</c:v>
                </c:pt>
                <c:pt idx="21">
                  <c:v>60200.45</c:v>
                </c:pt>
                <c:pt idx="22">
                  <c:v>58200.800000000003</c:v>
                </c:pt>
              </c:numCache>
            </c:numRef>
          </c:val>
          <c:extLst>
            <c:ext xmlns:c16="http://schemas.microsoft.com/office/drawing/2014/chart" uri="{C3380CC4-5D6E-409C-BE32-E72D297353CC}">
              <c16:uniqueId val="{00000000-91BC-42D9-9875-3FACCE563FF5}"/>
            </c:ext>
          </c:extLst>
        </c:ser>
        <c:dLbls>
          <c:showLegendKey val="0"/>
          <c:showVal val="0"/>
          <c:showCatName val="0"/>
          <c:showSerName val="0"/>
          <c:showPercent val="0"/>
          <c:showBubbleSize val="0"/>
        </c:dLbls>
        <c:gapWidth val="219"/>
        <c:overlap val="-27"/>
        <c:axId val="785959600"/>
        <c:axId val="785960080"/>
      </c:barChart>
      <c:catAx>
        <c:axId val="78595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60080"/>
        <c:crosses val="autoZero"/>
        <c:auto val="1"/>
        <c:lblAlgn val="ctr"/>
        <c:lblOffset val="100"/>
        <c:noMultiLvlLbl val="0"/>
      </c:catAx>
      <c:valAx>
        <c:axId val="7859600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59600"/>
        <c:crosses val="autoZero"/>
        <c:crossBetween val="between"/>
      </c:valAx>
      <c:spPr>
        <a:noFill/>
        <a:ln>
          <a:noFill/>
        </a:ln>
        <a:effectLst/>
      </c:spPr>
    </c:plotArea>
    <c:legend>
      <c:legendPos val="r"/>
      <c:layout>
        <c:manualLayout>
          <c:xMode val="edge"/>
          <c:yMode val="edge"/>
          <c:x val="0.89002296587926499"/>
          <c:y val="0.58614537766112573"/>
          <c:w val="9.3310367454068247E-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1.emf"/><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555625</xdr:colOff>
      <xdr:row>51</xdr:row>
      <xdr:rowOff>171450</xdr:rowOff>
    </xdr:from>
    <xdr:to>
      <xdr:col>11</xdr:col>
      <xdr:colOff>384175</xdr:colOff>
      <xdr:row>54</xdr:row>
      <xdr:rowOff>107950</xdr:rowOff>
    </xdr:to>
    <xdr:graphicFrame macro="">
      <xdr:nvGraphicFramePr>
        <xdr:cNvPr id="4" name="Chart 3">
          <a:extLst>
            <a:ext uri="{FF2B5EF4-FFF2-40B4-BE49-F238E27FC236}">
              <a16:creationId xmlns:a16="http://schemas.microsoft.com/office/drawing/2014/main" id="{E8DE88AB-6F17-0F39-DFDA-A097DAEFB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101600</xdr:colOff>
      <xdr:row>2</xdr:row>
      <xdr:rowOff>152400</xdr:rowOff>
    </xdr:from>
    <xdr:to>
      <xdr:col>2</xdr:col>
      <xdr:colOff>330200</xdr:colOff>
      <xdr:row>5</xdr:row>
      <xdr:rowOff>63500</xdr:rowOff>
    </xdr:to>
    <xdr:sp macro="" textlink="pivottable4!H11">
      <xdr:nvSpPr>
        <xdr:cNvPr id="3" name="Rectangle: Rounded Corners 2">
          <a:extLst>
            <a:ext uri="{FF2B5EF4-FFF2-40B4-BE49-F238E27FC236}">
              <a16:creationId xmlns:a16="http://schemas.microsoft.com/office/drawing/2014/main" id="{222CFCC9-E899-B284-DA7C-1164D497A33F}"/>
            </a:ext>
          </a:extLst>
        </xdr:cNvPr>
        <xdr:cNvSpPr/>
      </xdr:nvSpPr>
      <xdr:spPr>
        <a:xfrm>
          <a:off x="711200" y="666750"/>
          <a:ext cx="838200" cy="463550"/>
        </a:xfrm>
        <a:prstGeom prst="roundRect">
          <a:avLst>
            <a:gd name="adj" fmla="val 15996"/>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8104601-9060-4BD8-A838-52C25189493B}" type="TxLink">
            <a:rPr lang="en-US" sz="1100" b="0" i="0" u="none" strike="noStrike">
              <a:solidFill>
                <a:srgbClr val="000000"/>
              </a:solidFill>
              <a:latin typeface="Aptos Narrow"/>
            </a:rPr>
            <a:pPr algn="ctr"/>
            <a:t>30</a:t>
          </a:fld>
          <a:endParaRPr lang="en-US" i="0" u="none" strike="noStrike">
            <a:solidFill>
              <a:srgbClr val="000000"/>
            </a:solidFill>
            <a:latin typeface="Aptos Narrow"/>
          </a:endParaRPr>
        </a:p>
      </xdr:txBody>
    </xdr:sp>
    <xdr:clientData/>
  </xdr:twoCellAnchor>
  <xdr:twoCellAnchor>
    <xdr:from>
      <xdr:col>5</xdr:col>
      <xdr:colOff>88900</xdr:colOff>
      <xdr:row>6</xdr:row>
      <xdr:rowOff>146050</xdr:rowOff>
    </xdr:from>
    <xdr:to>
      <xdr:col>8</xdr:col>
      <xdr:colOff>323850</xdr:colOff>
      <xdr:row>8</xdr:row>
      <xdr:rowOff>76200</xdr:rowOff>
    </xdr:to>
    <xdr:sp macro="" textlink="pivottable7!B10">
      <xdr:nvSpPr>
        <xdr:cNvPr id="4" name="Rectangle: Rounded Corners 3">
          <a:extLst>
            <a:ext uri="{FF2B5EF4-FFF2-40B4-BE49-F238E27FC236}">
              <a16:creationId xmlns:a16="http://schemas.microsoft.com/office/drawing/2014/main" id="{2309DDE1-7ADF-670D-B6C8-E6FEB2D44689}"/>
            </a:ext>
          </a:extLst>
        </xdr:cNvPr>
        <xdr:cNvSpPr/>
      </xdr:nvSpPr>
      <xdr:spPr>
        <a:xfrm>
          <a:off x="3136900" y="1397000"/>
          <a:ext cx="2063750" cy="2984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D81DA58-5324-43CC-9FDC-12F8FC0A84E9}" type="TxLink">
            <a:rPr lang="en-US" sz="1100" b="0" i="0" u="none" strike="noStrike">
              <a:solidFill>
                <a:srgbClr val="000000"/>
              </a:solidFill>
              <a:latin typeface="Aptos Narrow"/>
            </a:rPr>
            <a:pPr algn="ctr"/>
            <a:t>$2,901,335.20</a:t>
          </a:fld>
          <a:endParaRPr lang="en-US" sz="2400">
            <a:solidFill>
              <a:schemeClr val="tx2"/>
            </a:solidFill>
          </a:endParaRPr>
        </a:p>
      </xdr:txBody>
    </xdr:sp>
    <xdr:clientData/>
  </xdr:twoCellAnchor>
  <xdr:twoCellAnchor>
    <xdr:from>
      <xdr:col>11</xdr:col>
      <xdr:colOff>190500</xdr:colOff>
      <xdr:row>4</xdr:row>
      <xdr:rowOff>177800</xdr:rowOff>
    </xdr:from>
    <xdr:to>
      <xdr:col>13</xdr:col>
      <xdr:colOff>95250</xdr:colOff>
      <xdr:row>6</xdr:row>
      <xdr:rowOff>76200</xdr:rowOff>
    </xdr:to>
    <xdr:sp macro="" textlink="'pivot table1'!B10">
      <xdr:nvSpPr>
        <xdr:cNvPr id="7" name="Rectangle: Rounded Corners 6">
          <a:extLst>
            <a:ext uri="{FF2B5EF4-FFF2-40B4-BE49-F238E27FC236}">
              <a16:creationId xmlns:a16="http://schemas.microsoft.com/office/drawing/2014/main" id="{CF619495-CFBA-4B8C-3698-41058E929B3E}"/>
            </a:ext>
          </a:extLst>
        </xdr:cNvPr>
        <xdr:cNvSpPr/>
      </xdr:nvSpPr>
      <xdr:spPr>
        <a:xfrm>
          <a:off x="6896100" y="1060450"/>
          <a:ext cx="1123950" cy="2667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A719B672-2B52-4C80-8E8F-E09FD66E1788}" type="TxLink">
            <a:rPr lang="en-US" sz="1100" b="0" i="0" u="none" strike="noStrike" baseline="0">
              <a:solidFill>
                <a:srgbClr val="000000"/>
              </a:solidFill>
              <a:latin typeface="Aptos Narrow"/>
            </a:rPr>
            <a:pPr algn="ctr"/>
            <a:t>8.13</a:t>
          </a:fld>
          <a:endParaRPr lang="en-US" sz="1800"/>
        </a:p>
      </xdr:txBody>
    </xdr:sp>
    <xdr:clientData/>
  </xdr:twoCellAnchor>
  <xdr:twoCellAnchor>
    <xdr:from>
      <xdr:col>0</xdr:col>
      <xdr:colOff>254000</xdr:colOff>
      <xdr:row>6</xdr:row>
      <xdr:rowOff>88900</xdr:rowOff>
    </xdr:from>
    <xdr:to>
      <xdr:col>3</xdr:col>
      <xdr:colOff>558800</xdr:colOff>
      <xdr:row>17</xdr:row>
      <xdr:rowOff>139700</xdr:rowOff>
    </xdr:to>
    <xdr:graphicFrame macro="">
      <xdr:nvGraphicFramePr>
        <xdr:cNvPr id="9" name="Chart 1">
          <a:extLst>
            <a:ext uri="{FF2B5EF4-FFF2-40B4-BE49-F238E27FC236}">
              <a16:creationId xmlns:a16="http://schemas.microsoft.com/office/drawing/2014/main" id="{AABD2341-44CA-275B-54F4-263DCACE2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400050</xdr:colOff>
      <xdr:row>1</xdr:row>
      <xdr:rowOff>107950</xdr:rowOff>
    </xdr:from>
    <xdr:to>
      <xdr:col>3</xdr:col>
      <xdr:colOff>101600</xdr:colOff>
      <xdr:row>2</xdr:row>
      <xdr:rowOff>171450</xdr:rowOff>
    </xdr:to>
    <xdr:sp macro="" textlink="">
      <xdr:nvSpPr>
        <xdr:cNvPr id="10" name="Rectangle 9">
          <a:extLst>
            <a:ext uri="{FF2B5EF4-FFF2-40B4-BE49-F238E27FC236}">
              <a16:creationId xmlns:a16="http://schemas.microsoft.com/office/drawing/2014/main" id="{2EF5D0EF-6D02-7E83-D050-62522AC9DEE3}"/>
            </a:ext>
          </a:extLst>
        </xdr:cNvPr>
        <xdr:cNvSpPr/>
      </xdr:nvSpPr>
      <xdr:spPr>
        <a:xfrm>
          <a:off x="400050" y="438150"/>
          <a:ext cx="1530350" cy="2476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l"/>
          <a:r>
            <a:rPr lang="en-US" sz="1100" b="1" cap="none" spc="0">
              <a:ln/>
              <a:solidFill>
                <a:schemeClr val="accent4"/>
              </a:solidFill>
              <a:effectLst/>
            </a:rPr>
            <a:t>Total</a:t>
          </a:r>
          <a:r>
            <a:rPr lang="en-US" sz="1100" b="1" cap="none" spc="0" baseline="0">
              <a:ln/>
              <a:solidFill>
                <a:schemeClr val="accent4"/>
              </a:solidFill>
              <a:effectLst/>
            </a:rPr>
            <a:t> Headcount</a:t>
          </a:r>
          <a:endParaRPr lang="en-US" sz="1100" b="1" cap="none" spc="0">
            <a:ln/>
            <a:solidFill>
              <a:schemeClr val="accent4"/>
            </a:solidFill>
            <a:effectLst/>
          </a:endParaRPr>
        </a:p>
      </xdr:txBody>
    </xdr:sp>
    <xdr:clientData/>
  </xdr:twoCellAnchor>
  <xdr:twoCellAnchor>
    <xdr:from>
      <xdr:col>0</xdr:col>
      <xdr:colOff>19050</xdr:colOff>
      <xdr:row>19</xdr:row>
      <xdr:rowOff>133350</xdr:rowOff>
    </xdr:from>
    <xdr:to>
      <xdr:col>4</xdr:col>
      <xdr:colOff>203200</xdr:colOff>
      <xdr:row>35</xdr:row>
      <xdr:rowOff>57150</xdr:rowOff>
    </xdr:to>
    <xdr:graphicFrame macro="">
      <xdr:nvGraphicFramePr>
        <xdr:cNvPr id="11" name="Chart 1">
          <a:extLst>
            <a:ext uri="{FF2B5EF4-FFF2-40B4-BE49-F238E27FC236}">
              <a16:creationId xmlns:a16="http://schemas.microsoft.com/office/drawing/2014/main" id="{D1B6C23C-0CA9-300F-C3E5-A5C0432E7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xdr:colOff>
      <xdr:row>10</xdr:row>
      <xdr:rowOff>31750</xdr:rowOff>
    </xdr:from>
    <xdr:to>
      <xdr:col>9</xdr:col>
      <xdr:colOff>190500</xdr:colOff>
      <xdr:row>21</xdr:row>
      <xdr:rowOff>19050</xdr:rowOff>
    </xdr:to>
    <xdr:graphicFrame macro="">
      <xdr:nvGraphicFramePr>
        <xdr:cNvPr id="12" name="Chart 1">
          <a:extLst>
            <a:ext uri="{FF2B5EF4-FFF2-40B4-BE49-F238E27FC236}">
              <a16:creationId xmlns:a16="http://schemas.microsoft.com/office/drawing/2014/main" id="{396E8006-7815-1AC0-F023-89A53DEA8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457200</xdr:colOff>
      <xdr:row>9</xdr:row>
      <xdr:rowOff>69850</xdr:rowOff>
    </xdr:from>
    <xdr:to>
      <xdr:col>17</xdr:col>
      <xdr:colOff>152400</xdr:colOff>
      <xdr:row>24</xdr:row>
      <xdr:rowOff>117475</xdr:rowOff>
    </xdr:to>
    <xdr:graphicFrame macro="">
      <xdr:nvGraphicFramePr>
        <xdr:cNvPr id="13" name="Chart 1">
          <a:extLst>
            <a:ext uri="{FF2B5EF4-FFF2-40B4-BE49-F238E27FC236}">
              <a16:creationId xmlns:a16="http://schemas.microsoft.com/office/drawing/2014/main" id="{8B964780-5A92-5342-B67B-BCD08B6FE2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590550</xdr:colOff>
      <xdr:row>34</xdr:row>
      <xdr:rowOff>57150</xdr:rowOff>
    </xdr:from>
    <xdr:to>
      <xdr:col>11</xdr:col>
      <xdr:colOff>349250</xdr:colOff>
      <xdr:row>45</xdr:row>
      <xdr:rowOff>82550</xdr:rowOff>
    </xdr:to>
    <xdr:graphicFrame macro="">
      <xdr:nvGraphicFramePr>
        <xdr:cNvPr id="14" name="Chart 1">
          <a:extLst>
            <a:ext uri="{FF2B5EF4-FFF2-40B4-BE49-F238E27FC236}">
              <a16:creationId xmlns:a16="http://schemas.microsoft.com/office/drawing/2014/main" id="{B49CD1EC-52DC-7D6C-E66E-713BD5062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234950</xdr:colOff>
      <xdr:row>28</xdr:row>
      <xdr:rowOff>38100</xdr:rowOff>
    </xdr:from>
    <xdr:to>
      <xdr:col>12</xdr:col>
      <xdr:colOff>558800</xdr:colOff>
      <xdr:row>34</xdr:row>
      <xdr:rowOff>44450</xdr:rowOff>
    </xdr:to>
    <xdr:pic>
      <xdr:nvPicPr>
        <xdr:cNvPr id="19" name="Picture 18">
          <a:extLst>
            <a:ext uri="{FF2B5EF4-FFF2-40B4-BE49-F238E27FC236}">
              <a16:creationId xmlns:a16="http://schemas.microsoft.com/office/drawing/2014/main" id="{07F7C209-2C7D-A664-2E80-4F2EFEB61BD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673350" y="5340350"/>
          <a:ext cx="5200650" cy="111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5</xdr:col>
      <xdr:colOff>355600</xdr:colOff>
      <xdr:row>25</xdr:row>
      <xdr:rowOff>165100</xdr:rowOff>
    </xdr:from>
    <xdr:ext cx="2825750" cy="342851"/>
    <xdr:sp macro="" textlink="">
      <xdr:nvSpPr>
        <xdr:cNvPr id="20" name="TextBox 19">
          <a:extLst>
            <a:ext uri="{FF2B5EF4-FFF2-40B4-BE49-F238E27FC236}">
              <a16:creationId xmlns:a16="http://schemas.microsoft.com/office/drawing/2014/main" id="{9C69D227-FB15-08E0-28FB-A9967245A1C1}"/>
            </a:ext>
          </a:extLst>
        </xdr:cNvPr>
        <xdr:cNvSpPr txBox="1"/>
      </xdr:nvSpPr>
      <xdr:spPr>
        <a:xfrm>
          <a:off x="3403600" y="4914900"/>
          <a:ext cx="2825750" cy="34285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1"/>
            <a:t>Top</a:t>
          </a:r>
          <a:r>
            <a:rPr lang="en-US" sz="1600" b="1" baseline="0"/>
            <a:t> 5 earners</a:t>
          </a:r>
          <a:endParaRPr lang="en-US" sz="1600" b="1"/>
        </a:p>
      </xdr:txBody>
    </xdr:sp>
    <xdr:clientData/>
  </xdr:oneCellAnchor>
  <xdr:twoCellAnchor editAs="oneCell">
    <xdr:from>
      <xdr:col>8</xdr:col>
      <xdr:colOff>450850</xdr:colOff>
      <xdr:row>46</xdr:row>
      <xdr:rowOff>31750</xdr:rowOff>
    </xdr:from>
    <xdr:to>
      <xdr:col>11</xdr:col>
      <xdr:colOff>450850</xdr:colOff>
      <xdr:row>57</xdr:row>
      <xdr:rowOff>114300</xdr:rowOff>
    </xdr:to>
    <mc:AlternateContent xmlns:mc="http://schemas.openxmlformats.org/markup-compatibility/2006" xmlns:a14="http://schemas.microsoft.com/office/drawing/2010/main">
      <mc:Choice Requires="a14">
        <xdr:graphicFrame macro="">
          <xdr:nvGraphicFramePr>
            <xdr:cNvPr id="21" name="Department">
              <a:extLst>
                <a:ext uri="{FF2B5EF4-FFF2-40B4-BE49-F238E27FC236}">
                  <a16:creationId xmlns:a16="http://schemas.microsoft.com/office/drawing/2014/main" id="{90FBEF29-2354-6C62-076A-39107F2B92D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327650" y="8648700"/>
              <a:ext cx="1828800" cy="210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317500</xdr:colOff>
      <xdr:row>46</xdr:row>
      <xdr:rowOff>31750</xdr:rowOff>
    </xdr:from>
    <xdr:to>
      <xdr:col>8</xdr:col>
      <xdr:colOff>317500</xdr:colOff>
      <xdr:row>57</xdr:row>
      <xdr:rowOff>158750</xdr:rowOff>
    </xdr:to>
    <mc:AlternateContent xmlns:mc="http://schemas.openxmlformats.org/markup-compatibility/2006" xmlns:a14="http://schemas.microsoft.com/office/drawing/2010/main">
      <mc:Choice Requires="a14">
        <xdr:graphicFrame macro="">
          <xdr:nvGraphicFramePr>
            <xdr:cNvPr id="22" name="Country">
              <a:extLst>
                <a:ext uri="{FF2B5EF4-FFF2-40B4-BE49-F238E27FC236}">
                  <a16:creationId xmlns:a16="http://schemas.microsoft.com/office/drawing/2014/main" id="{6155F15F-1BE0-7B2B-B986-D8C23B4E057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365500" y="8648700"/>
              <a:ext cx="1828800" cy="2152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165100</xdr:colOff>
      <xdr:row>4</xdr:row>
      <xdr:rowOff>0</xdr:rowOff>
    </xdr:from>
    <xdr:to>
      <xdr:col>8</xdr:col>
      <xdr:colOff>254000</xdr:colOff>
      <xdr:row>6</xdr:row>
      <xdr:rowOff>139700</xdr:rowOff>
    </xdr:to>
    <xdr:sp macro="" textlink="">
      <xdr:nvSpPr>
        <xdr:cNvPr id="23" name="TextBox 22">
          <a:extLst>
            <a:ext uri="{FF2B5EF4-FFF2-40B4-BE49-F238E27FC236}">
              <a16:creationId xmlns:a16="http://schemas.microsoft.com/office/drawing/2014/main" id="{E2442422-1BE0-68F0-852B-4ADE64C44244}"/>
            </a:ext>
          </a:extLst>
        </xdr:cNvPr>
        <xdr:cNvSpPr txBox="1"/>
      </xdr:nvSpPr>
      <xdr:spPr>
        <a:xfrm>
          <a:off x="3213100" y="882650"/>
          <a:ext cx="1917700" cy="50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a:t>
          </a:r>
          <a:r>
            <a:rPr lang="en-US" sz="1600" b="1" baseline="0"/>
            <a:t> Salary Expense</a:t>
          </a:r>
          <a:endParaRPr lang="en-US" sz="1600" b="1"/>
        </a:p>
      </xdr:txBody>
    </xdr:sp>
    <xdr:clientData/>
  </xdr:twoCellAnchor>
  <xdr:twoCellAnchor>
    <xdr:from>
      <xdr:col>10</xdr:col>
      <xdr:colOff>546100</xdr:colOff>
      <xdr:row>2</xdr:row>
      <xdr:rowOff>95250</xdr:rowOff>
    </xdr:from>
    <xdr:to>
      <xdr:col>13</xdr:col>
      <xdr:colOff>292100</xdr:colOff>
      <xdr:row>5</xdr:row>
      <xdr:rowOff>12700</xdr:rowOff>
    </xdr:to>
    <xdr:sp macro="" textlink="">
      <xdr:nvSpPr>
        <xdr:cNvPr id="24" name="TextBox 23">
          <a:extLst>
            <a:ext uri="{FF2B5EF4-FFF2-40B4-BE49-F238E27FC236}">
              <a16:creationId xmlns:a16="http://schemas.microsoft.com/office/drawing/2014/main" id="{1BB3C889-A9EB-3750-67F5-9AA2C2875E4D}"/>
            </a:ext>
          </a:extLst>
        </xdr:cNvPr>
        <xdr:cNvSpPr txBox="1"/>
      </xdr:nvSpPr>
      <xdr:spPr>
        <a:xfrm>
          <a:off x="6642100" y="609600"/>
          <a:ext cx="1574800" cy="469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Average Years Of Experience</a:t>
          </a:r>
        </a:p>
      </xdr:txBody>
    </xdr:sp>
    <xdr:clientData/>
  </xdr:twoCellAnchor>
  <xdr:twoCellAnchor>
    <xdr:from>
      <xdr:col>14</xdr:col>
      <xdr:colOff>438150</xdr:colOff>
      <xdr:row>4</xdr:row>
      <xdr:rowOff>165100</xdr:rowOff>
    </xdr:from>
    <xdr:to>
      <xdr:col>15</xdr:col>
      <xdr:colOff>533400</xdr:colOff>
      <xdr:row>6</xdr:row>
      <xdr:rowOff>171450</xdr:rowOff>
    </xdr:to>
    <xdr:sp macro="" textlink="Page001__2!P11">
      <xdr:nvSpPr>
        <xdr:cNvPr id="26" name="Rectangle: Rounded Corners 25">
          <a:extLst>
            <a:ext uri="{FF2B5EF4-FFF2-40B4-BE49-F238E27FC236}">
              <a16:creationId xmlns:a16="http://schemas.microsoft.com/office/drawing/2014/main" id="{E3834AC3-8B2E-E5B8-3DB8-F0ABF2E62DB2}"/>
            </a:ext>
          </a:extLst>
        </xdr:cNvPr>
        <xdr:cNvSpPr/>
      </xdr:nvSpPr>
      <xdr:spPr>
        <a:xfrm>
          <a:off x="8972550" y="1047750"/>
          <a:ext cx="704850" cy="3746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637DA1E-6A3B-46AA-BA67-2498D2BB8C26}" type="TxLink">
            <a:rPr lang="en-US" sz="1100" b="0" i="0" u="none" strike="noStrike">
              <a:solidFill>
                <a:srgbClr val="000000"/>
              </a:solidFill>
              <a:latin typeface="Aptos Narrow"/>
            </a:rPr>
            <a:pPr algn="l"/>
            <a:t>3.00</a:t>
          </a:fld>
          <a:endParaRPr lang="en-US" sz="1100"/>
        </a:p>
      </xdr:txBody>
    </xdr:sp>
    <xdr:clientData/>
  </xdr:twoCellAnchor>
  <xdr:twoCellAnchor>
    <xdr:from>
      <xdr:col>13</xdr:col>
      <xdr:colOff>438150</xdr:colOff>
      <xdr:row>2</xdr:row>
      <xdr:rowOff>88900</xdr:rowOff>
    </xdr:from>
    <xdr:to>
      <xdr:col>16</xdr:col>
      <xdr:colOff>393700</xdr:colOff>
      <xdr:row>5</xdr:row>
      <xdr:rowOff>0</xdr:rowOff>
    </xdr:to>
    <xdr:sp macro="" textlink="">
      <xdr:nvSpPr>
        <xdr:cNvPr id="27" name="TextBox 26">
          <a:extLst>
            <a:ext uri="{FF2B5EF4-FFF2-40B4-BE49-F238E27FC236}">
              <a16:creationId xmlns:a16="http://schemas.microsoft.com/office/drawing/2014/main" id="{35560918-FABE-E586-088B-34FEE72821AE}"/>
            </a:ext>
          </a:extLst>
        </xdr:cNvPr>
        <xdr:cNvSpPr txBox="1"/>
      </xdr:nvSpPr>
      <xdr:spPr>
        <a:xfrm>
          <a:off x="8362950" y="603250"/>
          <a:ext cx="1784350" cy="463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 of Employees with Retention Risk (&lt;3</a:t>
          </a:r>
          <a:r>
            <a:rPr lang="en-US" sz="1100" baseline="0"/>
            <a:t> Years)</a:t>
          </a:r>
          <a:endParaRPr lang="en-US" sz="1100"/>
        </a:p>
      </xdr:txBody>
    </xdr:sp>
    <xdr:clientData/>
  </xdr:twoCellAnchor>
  <xdr:twoCellAnchor>
    <xdr:from>
      <xdr:col>13</xdr:col>
      <xdr:colOff>79375</xdr:colOff>
      <xdr:row>28</xdr:row>
      <xdr:rowOff>142875</xdr:rowOff>
    </xdr:from>
    <xdr:to>
      <xdr:col>20</xdr:col>
      <xdr:colOff>384175</xdr:colOff>
      <xdr:row>43</xdr:row>
      <xdr:rowOff>123825</xdr:rowOff>
    </xdr:to>
    <xdr:graphicFrame macro="">
      <xdr:nvGraphicFramePr>
        <xdr:cNvPr id="28" name="Chart 3">
          <a:extLst>
            <a:ext uri="{FF2B5EF4-FFF2-40B4-BE49-F238E27FC236}">
              <a16:creationId xmlns:a16="http://schemas.microsoft.com/office/drawing/2014/main" id="{B75AE208-43DE-0E1D-1CB3-BC007DBF7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527050</xdr:colOff>
      <xdr:row>26</xdr:row>
      <xdr:rowOff>82550</xdr:rowOff>
    </xdr:from>
    <xdr:to>
      <xdr:col>18</xdr:col>
      <xdr:colOff>368300</xdr:colOff>
      <xdr:row>27</xdr:row>
      <xdr:rowOff>177800</xdr:rowOff>
    </xdr:to>
    <xdr:sp macro="" textlink="">
      <xdr:nvSpPr>
        <xdr:cNvPr id="29" name="TextBox 28">
          <a:extLst>
            <a:ext uri="{FF2B5EF4-FFF2-40B4-BE49-F238E27FC236}">
              <a16:creationId xmlns:a16="http://schemas.microsoft.com/office/drawing/2014/main" id="{91F2512E-EFEB-BFF7-D26C-998044CAF9AB}"/>
            </a:ext>
          </a:extLst>
        </xdr:cNvPr>
        <xdr:cNvSpPr txBox="1"/>
      </xdr:nvSpPr>
      <xdr:spPr>
        <a:xfrm>
          <a:off x="9671050" y="5016500"/>
          <a:ext cx="167005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City Level Insights</a:t>
          </a:r>
        </a:p>
        <a:p>
          <a:endParaRPr lang="en-US" sz="1400" b="1"/>
        </a:p>
        <a:p>
          <a:endParaRPr lang="en-US" sz="1100"/>
        </a:p>
      </xdr:txBody>
    </xdr:sp>
    <xdr:clientData/>
  </xdr:twoCellAnchor>
  <xdr:twoCellAnchor>
    <xdr:from>
      <xdr:col>13</xdr:col>
      <xdr:colOff>114300</xdr:colOff>
      <xdr:row>44</xdr:row>
      <xdr:rowOff>15875</xdr:rowOff>
    </xdr:from>
    <xdr:to>
      <xdr:col>20</xdr:col>
      <xdr:colOff>419100</xdr:colOff>
      <xdr:row>58</xdr:row>
      <xdr:rowOff>180975</xdr:rowOff>
    </xdr:to>
    <xdr:graphicFrame macro="">
      <xdr:nvGraphicFramePr>
        <xdr:cNvPr id="30" name="Chart 4">
          <a:extLst>
            <a:ext uri="{FF2B5EF4-FFF2-40B4-BE49-F238E27FC236}">
              <a16:creationId xmlns:a16="http://schemas.microsoft.com/office/drawing/2014/main" id="{11D5B8FA-7727-8AF2-2BB3-511F977AE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17</xdr:col>
      <xdr:colOff>215900</xdr:colOff>
      <xdr:row>0</xdr:row>
      <xdr:rowOff>114300</xdr:rowOff>
    </xdr:from>
    <xdr:to>
      <xdr:col>20</xdr:col>
      <xdr:colOff>215900</xdr:colOff>
      <xdr:row>10</xdr:row>
      <xdr:rowOff>171450</xdr:rowOff>
    </xdr:to>
    <mc:AlternateContent xmlns:mc="http://schemas.openxmlformats.org/markup-compatibility/2006" xmlns:a14="http://schemas.microsoft.com/office/drawing/2010/main">
      <mc:Choice Requires="a14">
        <xdr:graphicFrame macro="">
          <xdr:nvGraphicFramePr>
            <xdr:cNvPr id="31" name="Department 1">
              <a:extLst>
                <a:ext uri="{FF2B5EF4-FFF2-40B4-BE49-F238E27FC236}">
                  <a16:creationId xmlns:a16="http://schemas.microsoft.com/office/drawing/2014/main" id="{87E4C249-AE4B-B5FD-2BE2-6BAB2EAFD28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579100" y="114300"/>
              <a:ext cx="1828800" cy="2044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241300</xdr:colOff>
      <xdr:row>11</xdr:row>
      <xdr:rowOff>133350</xdr:rowOff>
    </xdr:from>
    <xdr:to>
      <xdr:col>20</xdr:col>
      <xdr:colOff>241300</xdr:colOff>
      <xdr:row>22</xdr:row>
      <xdr:rowOff>139700</xdr:rowOff>
    </xdr:to>
    <mc:AlternateContent xmlns:mc="http://schemas.openxmlformats.org/markup-compatibility/2006" xmlns:a14="http://schemas.microsoft.com/office/drawing/2010/main">
      <mc:Choice Requires="a14">
        <xdr:graphicFrame macro="">
          <xdr:nvGraphicFramePr>
            <xdr:cNvPr id="32" name="Country 1">
              <a:extLst>
                <a:ext uri="{FF2B5EF4-FFF2-40B4-BE49-F238E27FC236}">
                  <a16:creationId xmlns:a16="http://schemas.microsoft.com/office/drawing/2014/main" id="{B9835871-E3C0-8C48-6CDE-0422CD1BC9E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604500" y="2305050"/>
              <a:ext cx="1828800" cy="20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seka" refreshedDate="45945.940077199077" createdVersion="8" refreshedVersion="8" minRefreshableVersion="3" recordCount="30" xr:uid="{2C289C59-D364-41D2-AC43-CBAF18C533B0}">
  <cacheSource type="worksheet">
    <worksheetSource name="Page001__2_1"/>
  </cacheSource>
  <cacheFields count="14">
    <cacheField name="EmpID" numFmtId="0">
      <sharedItems/>
    </cacheField>
    <cacheField name="FullName" numFmtId="0">
      <sharedItems/>
    </cacheField>
    <cacheField name="JobTitle" numFmtId="0">
      <sharedItems count="23">
        <s v="HR Specialist"/>
        <s v="Data Analyst"/>
        <s v="Developer"/>
        <s v="Project Manager"/>
        <s v="Data Scientist"/>
        <s v="Financial Analyst"/>
        <s v="Designer"/>
        <s v="Software Engineer"/>
        <s v="Product Manager"/>
        <s v="HR Manager"/>
        <s v="Support Engineer"/>
        <s v="Marketing Specialist"/>
        <s v="DevOps Engineer"/>
        <s v="Recruiter"/>
        <s v="UI/UX Designer"/>
        <s v="Accountant"/>
        <s v="Marketing Analyst"/>
        <s v="Product Owner"/>
        <s v="Customer Support"/>
        <s v="Data Engineer"/>
        <s v="Sales Executive"/>
        <s v="HR Generalist"/>
        <s v="Marketing Manager"/>
      </sharedItems>
    </cacheField>
    <cacheField name="Department" numFmtId="0">
      <sharedItems containsBlank="1" count="7">
        <s v="Finance"/>
        <s v="IT"/>
        <s v="Sales"/>
        <s v="Operations"/>
        <s v="Marketing"/>
        <s v="HR"/>
        <m u="1"/>
      </sharedItems>
    </cacheField>
    <cacheField name="HireDate" numFmtId="14">
      <sharedItems containsSemiMixedTypes="0" containsNonDate="0" containsDate="1" containsString="0" minDate="2012-02-14T00:00:00" maxDate="2022-07-14T00:00:00"/>
    </cacheField>
    <cacheField name="Salary" numFmtId="0">
      <sharedItems containsSemiMixedTypes="0" containsString="0" containsNumber="1" minValue="58200.800000000003" maxValue="134800.95000000001" count="30">
        <n v="78960.73"/>
        <n v="105887.97"/>
        <n v="97023.2"/>
        <n v="125500"/>
        <n v="115450.5"/>
        <n v="98400.75"/>
        <n v="76500.2"/>
        <n v="134200"/>
        <n v="112300.65"/>
        <n v="89400.8"/>
        <n v="68500.899999999994"/>
        <n v="60200.45"/>
        <n v="121300.1"/>
        <n v="99800.75"/>
        <n v="109500.25"/>
        <n v="71500.55"/>
        <n v="85000.65"/>
        <n v="125700.85"/>
        <n v="88000.4"/>
        <n v="104500.7"/>
        <n v="78200.350000000006"/>
        <n v="69800.25"/>
        <n v="134800.95000000001"/>
        <n v="58200.800000000003"/>
        <n v="93600.6"/>
        <n v="128300.2"/>
        <n v="74500.350000000006"/>
        <n v="81000.55"/>
        <n v="115800"/>
        <n v="99500.75"/>
      </sharedItems>
    </cacheField>
    <cacheField name="Avg Dept Salary" numFmtId="0">
      <sharedItems containsSemiMixedTypes="0" containsString="0" containsNumber="1" minValue="78200.459999999992" maxValue="130150.47500000001"/>
    </cacheField>
    <cacheField name="Salary Class" numFmtId="0">
      <sharedItems/>
    </cacheField>
    <cacheField name="YearsExperience" numFmtId="0">
      <sharedItems containsSemiMixedTypes="0" containsString="0" containsNumber="1" minValue="1.3" maxValue="15"/>
    </cacheField>
    <cacheField name="Experience Tier" numFmtId="0">
      <sharedItems count="3">
        <s v="High Experience"/>
        <s v="Low Experience"/>
        <s v="Medium Experience"/>
      </sharedItems>
    </cacheField>
    <cacheField name="Country" numFmtId="0">
      <sharedItems containsBlank="1" count="7">
        <s v="Canada"/>
        <s v="UK"/>
        <s v="USA"/>
        <s v="India"/>
        <s v="France"/>
        <s v="Germany"/>
        <m u="1"/>
      </sharedItems>
    </cacheField>
    <cacheField name="City" numFmtId="0">
      <sharedItems containsBlank="1" count="24">
        <s v="Toronto"/>
        <s v="Berlin"/>
        <s v="New York"/>
        <s v="Delhi"/>
        <s v="Paris"/>
        <s v="Chicago"/>
        <s v="Montreal"/>
        <s v="Boston"/>
        <s v="Lyon"/>
        <s v="Mumbai"/>
        <s v="Vancouver"/>
        <s v="London"/>
        <s v="Miami"/>
        <s v="Bangalore"/>
        <s v="Manchester"/>
        <s v="Hamburg"/>
        <s v="San Francisco"/>
        <s v="Bristol"/>
        <s v="Hyderabad"/>
        <s v="Ottawa"/>
        <s v="Atlanta"/>
        <s v="Chennai"/>
        <s v="Liverpool"/>
        <m u="1"/>
      </sharedItems>
    </cacheField>
    <cacheField name="Hire Year" numFmtId="0">
      <sharedItems containsSemiMixedTypes="0" containsString="0" containsNumber="1" containsInteger="1" minValue="2012" maxValue="2022" count="11">
        <n v="2012"/>
        <n v="2018"/>
        <n v="2019"/>
        <n v="2016"/>
        <n v="2020"/>
        <n v="2015"/>
        <n v="2017"/>
        <n v="2014"/>
        <n v="2013"/>
        <n v="2021"/>
        <n v="2022"/>
      </sharedItems>
    </cacheField>
    <cacheField name="Retention Risk" numFmtId="0">
      <sharedItems/>
    </cacheField>
  </cacheFields>
  <extLst>
    <ext xmlns:x14="http://schemas.microsoft.com/office/spreadsheetml/2009/9/main" uri="{725AE2AE-9491-48be-B2B4-4EB974FC3084}">
      <x14:pivotCacheDefinition pivotCacheId="12010345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EMP001"/>
    <s v="Laura Doe"/>
    <x v="0"/>
    <x v="0"/>
    <d v="2012-02-14T00:00:00"/>
    <x v="0"/>
    <n v="91752.645999999993"/>
    <s v="Below/Equal"/>
    <n v="13.1"/>
    <x v="0"/>
    <x v="0"/>
    <x v="0"/>
    <x v="0"/>
    <s v="0"/>
  </r>
  <r>
    <s v="EMP002"/>
    <s v="John Brown"/>
    <x v="1"/>
    <x v="1"/>
    <d v="2018-10-07T00:00:00"/>
    <x v="1"/>
    <n v="113293.46888888888"/>
    <s v="Below/Equal"/>
    <n v="14.8"/>
    <x v="0"/>
    <x v="1"/>
    <x v="1"/>
    <x v="1"/>
    <s v="0"/>
  </r>
  <r>
    <s v="EMP003"/>
    <s v="Jane Smith"/>
    <x v="2"/>
    <x v="2"/>
    <d v="2019-10-24T00:00:00"/>
    <x v="2"/>
    <n v="90305.05"/>
    <s v="High Class"/>
    <n v="1.3"/>
    <x v="1"/>
    <x v="0"/>
    <x v="1"/>
    <x v="2"/>
    <s v="1"/>
  </r>
  <r>
    <s v="EMP004"/>
    <s v="James Johnson"/>
    <x v="3"/>
    <x v="3"/>
    <d v="2016-06-01T00:00:00"/>
    <x v="3"/>
    <n v="130150.47500000001"/>
    <s v="Below/Equal"/>
    <n v="11.4"/>
    <x v="0"/>
    <x v="2"/>
    <x v="2"/>
    <x v="3"/>
    <s v="0"/>
  </r>
  <r>
    <s v="EMP005"/>
    <s v="Sophia Lee"/>
    <x v="4"/>
    <x v="1"/>
    <d v="2020-03-15T00:00:00"/>
    <x v="4"/>
    <n v="113293.46888888888"/>
    <s v="High Class"/>
    <n v="4.5"/>
    <x v="1"/>
    <x v="3"/>
    <x v="3"/>
    <x v="4"/>
    <s v="0"/>
  </r>
  <r>
    <s v="EMP006"/>
    <s v="David Kim"/>
    <x v="5"/>
    <x v="0"/>
    <d v="2015-09-21T00:00:00"/>
    <x v="5"/>
    <n v="91752.645999999993"/>
    <s v="High Class"/>
    <n v="9.6999999999999993"/>
    <x v="2"/>
    <x v="0"/>
    <x v="0"/>
    <x v="5"/>
    <s v="0"/>
  </r>
  <r>
    <s v="EMP007"/>
    <s v="Emma Garcia"/>
    <x v="6"/>
    <x v="4"/>
    <d v="2017-12-11T00:00:00"/>
    <x v="6"/>
    <n v="78200.459999999992"/>
    <s v="Below/Equal"/>
    <n v="6.1"/>
    <x v="2"/>
    <x v="4"/>
    <x v="4"/>
    <x v="6"/>
    <s v="0"/>
  </r>
  <r>
    <s v="EMP008"/>
    <s v="Daniel Scott"/>
    <x v="7"/>
    <x v="1"/>
    <d v="2014-07-25T00:00:00"/>
    <x v="7"/>
    <n v="113293.46888888888"/>
    <s v="High Class"/>
    <n v="12"/>
    <x v="0"/>
    <x v="2"/>
    <x v="5"/>
    <x v="7"/>
    <s v="0"/>
  </r>
  <r>
    <s v="EMP009"/>
    <s v="Olivia Miller"/>
    <x v="8"/>
    <x v="2"/>
    <d v="2019-01-09T00:00:00"/>
    <x v="8"/>
    <n v="90305.05"/>
    <s v="High Class"/>
    <n v="3.9"/>
    <x v="1"/>
    <x v="5"/>
    <x v="1"/>
    <x v="2"/>
    <s v="0"/>
  </r>
  <r>
    <s v="EMP010"/>
    <s v="William Davis"/>
    <x v="9"/>
    <x v="5"/>
    <d v="2013-05-30T00:00:00"/>
    <x v="9"/>
    <n v="80025.5625"/>
    <s v="High Class"/>
    <n v="14.2"/>
    <x v="0"/>
    <x v="0"/>
    <x v="6"/>
    <x v="8"/>
    <s v="0"/>
  </r>
  <r>
    <s v="EMP011"/>
    <s v="Ethan Wilson"/>
    <x v="10"/>
    <x v="1"/>
    <d v="2018-02-17T00:00:00"/>
    <x v="10"/>
    <n v="113293.46888888888"/>
    <s v="Below/Equal"/>
    <n v="5.7"/>
    <x v="2"/>
    <x v="2"/>
    <x v="7"/>
    <x v="1"/>
    <s v="0"/>
  </r>
  <r>
    <s v="EMP012"/>
    <s v="Ava Taylor"/>
    <x v="11"/>
    <x v="4"/>
    <d v="2021-06-20T00:00:00"/>
    <x v="11"/>
    <n v="78200.459999999992"/>
    <s v="Below/Equal"/>
    <n v="2.1"/>
    <x v="1"/>
    <x v="4"/>
    <x v="8"/>
    <x v="9"/>
    <s v="1"/>
  </r>
  <r>
    <s v="EMP013"/>
    <s v="Michael Clark"/>
    <x v="12"/>
    <x v="1"/>
    <d v="2016-08-05T00:00:00"/>
    <x v="12"/>
    <n v="113293.46888888888"/>
    <s v="High Class"/>
    <n v="8.5"/>
    <x v="2"/>
    <x v="3"/>
    <x v="9"/>
    <x v="3"/>
    <s v="0"/>
  </r>
  <r>
    <s v="EMP014"/>
    <s v="Isabella White"/>
    <x v="1"/>
    <x v="0"/>
    <d v="2017-10-19T00:00:00"/>
    <x v="13"/>
    <n v="91752.645999999993"/>
    <s v="High Class"/>
    <n v="7.3"/>
    <x v="2"/>
    <x v="0"/>
    <x v="10"/>
    <x v="6"/>
    <s v="0"/>
  </r>
  <r>
    <s v="EMP015"/>
    <s v="Alexander Hall"/>
    <x v="2"/>
    <x v="2"/>
    <d v="2014-11-25T00:00:00"/>
    <x v="14"/>
    <n v="90305.05"/>
    <s v="High Class"/>
    <n v="10.199999999999999"/>
    <x v="0"/>
    <x v="1"/>
    <x v="11"/>
    <x v="7"/>
    <s v="0"/>
  </r>
  <r>
    <s v="EMP016"/>
    <s v="Mia Young"/>
    <x v="13"/>
    <x v="5"/>
    <d v="2019-04-14T00:00:00"/>
    <x v="15"/>
    <n v="80025.5625"/>
    <s v="Below/Equal"/>
    <n v="4"/>
    <x v="1"/>
    <x v="2"/>
    <x v="12"/>
    <x v="2"/>
    <s v="0"/>
  </r>
  <r>
    <s v="EMP017"/>
    <s v="Jacob Allen"/>
    <x v="14"/>
    <x v="4"/>
    <d v="2015-01-09T00:00:00"/>
    <x v="16"/>
    <n v="78200.459999999992"/>
    <s v="High Class"/>
    <n v="9.5"/>
    <x v="2"/>
    <x v="4"/>
    <x v="4"/>
    <x v="5"/>
    <s v="0"/>
  </r>
  <r>
    <s v="EMP018"/>
    <s v="Charlotte King"/>
    <x v="4"/>
    <x v="1"/>
    <d v="2022-07-13T00:00:00"/>
    <x v="17"/>
    <n v="113293.46888888888"/>
    <s v="High Class"/>
    <n v="2.5"/>
    <x v="1"/>
    <x v="3"/>
    <x v="13"/>
    <x v="10"/>
    <s v="1"/>
  </r>
  <r>
    <s v="EMP019"/>
    <s v="Henry Wright"/>
    <x v="15"/>
    <x v="0"/>
    <d v="2013-03-18T00:00:00"/>
    <x v="18"/>
    <n v="91752.645999999993"/>
    <s v="Below/Equal"/>
    <n v="15"/>
    <x v="0"/>
    <x v="0"/>
    <x v="0"/>
    <x v="8"/>
    <s v="0"/>
  </r>
  <r>
    <s v="EMP020"/>
    <s v="Amelia Adams"/>
    <x v="7"/>
    <x v="1"/>
    <d v="2020-08-29T00:00:00"/>
    <x v="19"/>
    <n v="113293.46888888888"/>
    <s v="Below/Equal"/>
    <n v="3.3"/>
    <x v="1"/>
    <x v="1"/>
    <x v="14"/>
    <x v="4"/>
    <s v="0"/>
  </r>
  <r>
    <s v="EMP021"/>
    <s v="Lucas Nelson"/>
    <x v="0"/>
    <x v="5"/>
    <d v="2016-12-02T00:00:00"/>
    <x v="20"/>
    <n v="80025.5625"/>
    <s v="Below/Equal"/>
    <n v="6.9"/>
    <x v="2"/>
    <x v="2"/>
    <x v="5"/>
    <x v="3"/>
    <s v="0"/>
  </r>
  <r>
    <s v="EMP022"/>
    <s v="Harper Baker"/>
    <x v="16"/>
    <x v="4"/>
    <d v="2018-09-17T00:00:00"/>
    <x v="21"/>
    <n v="78200.459999999992"/>
    <s v="Below/Equal"/>
    <n v="5.2"/>
    <x v="2"/>
    <x v="5"/>
    <x v="15"/>
    <x v="1"/>
    <s v="0"/>
  </r>
  <r>
    <s v="EMP023"/>
    <s v="Daniel Perez"/>
    <x v="17"/>
    <x v="3"/>
    <d v="2012-04-22T00:00:00"/>
    <x v="22"/>
    <n v="130150.47500000001"/>
    <s v="High Class"/>
    <n v="14.6"/>
    <x v="0"/>
    <x v="2"/>
    <x v="16"/>
    <x v="0"/>
    <s v="0"/>
  </r>
  <r>
    <s v="EMP024"/>
    <s v="Evelyn Rivera"/>
    <x v="18"/>
    <x v="2"/>
    <d v="2019-07-03T00:00:00"/>
    <x v="23"/>
    <n v="90305.05"/>
    <s v="Below/Equal"/>
    <n v="3.1"/>
    <x v="1"/>
    <x v="1"/>
    <x v="17"/>
    <x v="2"/>
    <s v="0"/>
  </r>
  <r>
    <s v="EMP025"/>
    <s v="Matthew Carter"/>
    <x v="5"/>
    <x v="0"/>
    <d v="2017-05-30T00:00:00"/>
    <x v="24"/>
    <n v="91752.645999999993"/>
    <s v="High Class"/>
    <n v="7.7"/>
    <x v="2"/>
    <x v="3"/>
    <x v="18"/>
    <x v="6"/>
    <s v="0"/>
  </r>
  <r>
    <s v="EMP026"/>
    <s v="Sofia Mitchell"/>
    <x v="19"/>
    <x v="1"/>
    <d v="2014-10-27T00:00:00"/>
    <x v="25"/>
    <n v="113293.46888888888"/>
    <s v="High Class"/>
    <n v="11.1"/>
    <x v="0"/>
    <x v="4"/>
    <x v="4"/>
    <x v="7"/>
    <s v="0"/>
  </r>
  <r>
    <s v="EMP027"/>
    <s v="Benjamin Roberts"/>
    <x v="20"/>
    <x v="2"/>
    <d v="2016-01-11T00:00:00"/>
    <x v="26"/>
    <n v="90305.05"/>
    <s v="Below/Equal"/>
    <n v="8.1999999999999993"/>
    <x v="2"/>
    <x v="0"/>
    <x v="19"/>
    <x v="3"/>
    <s v="0"/>
  </r>
  <r>
    <s v="EMP028"/>
    <s v="Abigail Turner"/>
    <x v="21"/>
    <x v="5"/>
    <d v="2015-07-19T00:00:00"/>
    <x v="27"/>
    <n v="80025.5625"/>
    <s v="High Class"/>
    <n v="9.9"/>
    <x v="2"/>
    <x v="2"/>
    <x v="20"/>
    <x v="5"/>
    <s v="0"/>
  </r>
  <r>
    <s v="EMP029"/>
    <s v="Joseph Phillips"/>
    <x v="2"/>
    <x v="1"/>
    <d v="2018-11-05T00:00:00"/>
    <x v="28"/>
    <n v="113293.46888888888"/>
    <s v="High Class"/>
    <n v="5.4"/>
    <x v="2"/>
    <x v="3"/>
    <x v="21"/>
    <x v="1"/>
    <s v="0"/>
  </r>
  <r>
    <s v="EMP030"/>
    <s v="Emily Campbell"/>
    <x v="22"/>
    <x v="4"/>
    <d v="2013-09-23T00:00:00"/>
    <x v="29"/>
    <n v="78200.459999999992"/>
    <s v="High Class"/>
    <n v="12.7"/>
    <x v="0"/>
    <x v="1"/>
    <x v="22"/>
    <x v="8"/>
    <s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5789DD-77D8-4076-A388-A4B588BBD9D8}" name="PivotTable6"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4">
    <pivotField showAll="0"/>
    <pivotField showAll="0"/>
    <pivotField showAll="0"/>
    <pivotField axis="axisRow" showAll="0" sortType="descending">
      <items count="8">
        <item x="0"/>
        <item x="5"/>
        <item x="1"/>
        <item x="4"/>
        <item x="3"/>
        <item x="2"/>
        <item m="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8">
        <item x="0"/>
        <item x="4"/>
        <item x="5"/>
        <item x="3"/>
        <item x="1"/>
        <item x="2"/>
        <item m="1" x="6"/>
        <item t="default"/>
      </items>
    </pivotField>
    <pivotField showAll="0"/>
    <pivotField showAll="0"/>
    <pivotField showAll="0"/>
  </pivotFields>
  <rowFields count="1">
    <field x="3"/>
  </rowFields>
  <rowItems count="7">
    <i>
      <x v="4"/>
    </i>
    <i>
      <x/>
    </i>
    <i>
      <x v="1"/>
    </i>
    <i>
      <x v="2"/>
    </i>
    <i>
      <x v="3"/>
    </i>
    <i>
      <x v="5"/>
    </i>
    <i t="grand">
      <x/>
    </i>
  </rowItems>
  <colItems count="1">
    <i/>
  </colItems>
  <dataFields count="1">
    <dataField name="Average of YearsExperience" fld="8" subtotal="average" baseField="3"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18F44B-B823-4CD6-8C71-ABD32B5418AF}" name="PivotTable9"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4">
    <pivotField showAll="0"/>
    <pivotField showAll="0"/>
    <pivotField showAll="0"/>
    <pivotField axis="axisRow" showAll="0">
      <items count="8">
        <item x="0"/>
        <item x="5"/>
        <item x="1"/>
        <item x="4"/>
        <item x="3"/>
        <item x="2"/>
        <item m="1" x="6"/>
        <item t="default"/>
      </items>
    </pivotField>
    <pivotField showAll="0"/>
    <pivotField dataField="1" showAll="0"/>
    <pivotField showAll="0"/>
    <pivotField showAll="0"/>
    <pivotField showAll="0"/>
    <pivotField showAll="0"/>
    <pivotField showAll="0">
      <items count="8">
        <item x="0"/>
        <item x="4"/>
        <item x="5"/>
        <item x="3"/>
        <item x="1"/>
        <item x="2"/>
        <item m="1" x="6"/>
        <item t="default"/>
      </items>
    </pivotField>
    <pivotField showAll="0"/>
    <pivotField showAll="0"/>
    <pivotField showAll="0"/>
  </pivotFields>
  <rowFields count="1">
    <field x="3"/>
  </rowFields>
  <rowItems count="7">
    <i>
      <x/>
    </i>
    <i>
      <x v="1"/>
    </i>
    <i>
      <x v="2"/>
    </i>
    <i>
      <x v="3"/>
    </i>
    <i>
      <x v="4"/>
    </i>
    <i>
      <x v="5"/>
    </i>
    <i t="grand">
      <x/>
    </i>
  </rowItems>
  <colItems count="1">
    <i/>
  </colItems>
  <dataFields count="1">
    <dataField name="Average of Salary" fld="5" subtotal="average"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6396F0-E847-4DFF-88AC-2DCA2E02213A}" name="PivotTable10"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4">
    <pivotField dataField="1" showAll="0"/>
    <pivotField showAll="0"/>
    <pivotField showAll="0"/>
    <pivotField showAll="0">
      <items count="8">
        <item x="0"/>
        <item x="5"/>
        <item x="1"/>
        <item x="4"/>
        <item x="3"/>
        <item x="2"/>
        <item m="1" x="6"/>
        <item t="default"/>
      </items>
    </pivotField>
    <pivotField showAll="0"/>
    <pivotField showAll="0"/>
    <pivotField showAll="0"/>
    <pivotField showAll="0"/>
    <pivotField showAll="0"/>
    <pivotField showAll="0"/>
    <pivotField axis="axisRow" showAll="0" sortType="descending">
      <items count="8">
        <item m="1" x="6"/>
        <item sd="0" x="2"/>
        <item sd="0" x="1"/>
        <item sd="0" x="3"/>
        <item sd="0" x="5"/>
        <item sd="0" x="4"/>
        <item sd="0" x="0"/>
        <item t="default"/>
      </items>
    </pivotField>
    <pivotField axis="axisRow" showAll="0">
      <items count="25">
        <item x="20"/>
        <item x="13"/>
        <item x="1"/>
        <item x="7"/>
        <item x="17"/>
        <item x="21"/>
        <item x="5"/>
        <item x="3"/>
        <item x="15"/>
        <item x="18"/>
        <item x="22"/>
        <item x="11"/>
        <item x="8"/>
        <item x="14"/>
        <item x="12"/>
        <item x="6"/>
        <item x="9"/>
        <item x="2"/>
        <item x="19"/>
        <item x="4"/>
        <item x="16"/>
        <item x="0"/>
        <item x="10"/>
        <item m="1" x="23"/>
        <item t="default"/>
      </items>
    </pivotField>
    <pivotField showAll="0"/>
    <pivotField showAll="0"/>
  </pivotFields>
  <rowFields count="2">
    <field x="10"/>
    <field x="11"/>
  </rowFields>
  <rowItems count="7">
    <i>
      <x v="1"/>
    </i>
    <i>
      <x v="2"/>
    </i>
    <i>
      <x v="3"/>
    </i>
    <i>
      <x v="4"/>
    </i>
    <i>
      <x v="5"/>
    </i>
    <i>
      <x v="6"/>
    </i>
    <i t="grand">
      <x/>
    </i>
  </rowItems>
  <colItems count="1">
    <i/>
  </colItems>
  <dataFields count="1">
    <dataField name="Count of EmpID" fld="0" subtotal="count" baseField="0" baseItem="0"/>
  </dataFields>
  <chartFormats count="7">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0" count="1" selected="0">
            <x v="1"/>
          </reference>
        </references>
      </pivotArea>
    </chartFormat>
    <chartFormat chart="8" format="3">
      <pivotArea type="data" outline="0" fieldPosition="0">
        <references count="2">
          <reference field="4294967294" count="1" selected="0">
            <x v="0"/>
          </reference>
          <reference field="10" count="1" selected="0">
            <x v="2"/>
          </reference>
        </references>
      </pivotArea>
    </chartFormat>
    <chartFormat chart="8" format="4">
      <pivotArea type="data" outline="0" fieldPosition="0">
        <references count="2">
          <reference field="4294967294" count="1" selected="0">
            <x v="0"/>
          </reference>
          <reference field="10" count="1" selected="0">
            <x v="3"/>
          </reference>
        </references>
      </pivotArea>
    </chartFormat>
    <chartFormat chart="8" format="5">
      <pivotArea type="data" outline="0" fieldPosition="0">
        <references count="2">
          <reference field="4294967294" count="1" selected="0">
            <x v="0"/>
          </reference>
          <reference field="10" count="1" selected="0">
            <x v="4"/>
          </reference>
        </references>
      </pivotArea>
    </chartFormat>
    <chartFormat chart="8" format="6">
      <pivotArea type="data" outline="0" fieldPosition="0">
        <references count="2">
          <reference field="4294967294" count="1" selected="0">
            <x v="0"/>
          </reference>
          <reference field="10" count="1" selected="0">
            <x v="5"/>
          </reference>
        </references>
      </pivotArea>
    </chartFormat>
    <chartFormat chart="8" format="7">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6F71B9-0C0F-4C02-9C48-786A6E722CB3}" name="PivotTable12"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H11" firstHeaderRow="1" firstDataRow="2" firstDataCol="1"/>
  <pivotFields count="14">
    <pivotField dataField="1" showAll="0"/>
    <pivotField showAll="0"/>
    <pivotField showAll="0"/>
    <pivotField axis="axisRow" showAll="0">
      <items count="8">
        <item x="0"/>
        <item x="5"/>
        <item x="1"/>
        <item x="4"/>
        <item x="3"/>
        <item x="2"/>
        <item m="1" x="6"/>
        <item t="default"/>
      </items>
    </pivotField>
    <pivotField showAll="0"/>
    <pivotField showAll="0"/>
    <pivotField showAll="0"/>
    <pivotField showAll="0"/>
    <pivotField showAll="0"/>
    <pivotField showAll="0"/>
    <pivotField axis="axisCol" showAll="0">
      <items count="8">
        <item x="0"/>
        <item x="4"/>
        <item x="5"/>
        <item x="3"/>
        <item x="1"/>
        <item x="2"/>
        <item m="1" x="6"/>
        <item t="default"/>
      </items>
    </pivotField>
    <pivotField showAll="0"/>
    <pivotField showAll="0"/>
    <pivotField showAll="0"/>
  </pivotFields>
  <rowFields count="1">
    <field x="3"/>
  </rowFields>
  <rowItems count="7">
    <i>
      <x/>
    </i>
    <i>
      <x v="1"/>
    </i>
    <i>
      <x v="2"/>
    </i>
    <i>
      <x v="3"/>
    </i>
    <i>
      <x v="4"/>
    </i>
    <i>
      <x v="5"/>
    </i>
    <i t="grand">
      <x/>
    </i>
  </rowItems>
  <colFields count="1">
    <field x="10"/>
  </colFields>
  <colItems count="7">
    <i>
      <x/>
    </i>
    <i>
      <x v="1"/>
    </i>
    <i>
      <x v="2"/>
    </i>
    <i>
      <x v="3"/>
    </i>
    <i>
      <x v="4"/>
    </i>
    <i>
      <x v="5"/>
    </i>
    <i t="grand">
      <x/>
    </i>
  </colItems>
  <dataFields count="1">
    <dataField name="Count of EmpID" fld="0" subtotal="count" baseField="0" baseItem="0"/>
  </dataFields>
  <chartFormats count="7">
    <chartFormat chart="3" format="6" series="1">
      <pivotArea type="data" outline="0" fieldPosition="0">
        <references count="2">
          <reference field="4294967294" count="1" selected="0">
            <x v="0"/>
          </reference>
          <reference field="10" count="1" selected="0">
            <x v="0"/>
          </reference>
        </references>
      </pivotArea>
    </chartFormat>
    <chartFormat chart="3" format="7" series="1">
      <pivotArea type="data" outline="0" fieldPosition="0">
        <references count="2">
          <reference field="4294967294" count="1" selected="0">
            <x v="0"/>
          </reference>
          <reference field="10" count="1" selected="0">
            <x v="1"/>
          </reference>
        </references>
      </pivotArea>
    </chartFormat>
    <chartFormat chart="3" format="8" series="1">
      <pivotArea type="data" outline="0" fieldPosition="0">
        <references count="2">
          <reference field="4294967294" count="1" selected="0">
            <x v="0"/>
          </reference>
          <reference field="10" count="1" selected="0">
            <x v="2"/>
          </reference>
        </references>
      </pivotArea>
    </chartFormat>
    <chartFormat chart="3" format="9" series="1">
      <pivotArea type="data" outline="0" fieldPosition="0">
        <references count="2">
          <reference field="4294967294" count="1" selected="0">
            <x v="0"/>
          </reference>
          <reference field="10" count="1" selected="0">
            <x v="3"/>
          </reference>
        </references>
      </pivotArea>
    </chartFormat>
    <chartFormat chart="3" format="10" series="1">
      <pivotArea type="data" outline="0" fieldPosition="0">
        <references count="2">
          <reference field="4294967294" count="1" selected="0">
            <x v="0"/>
          </reference>
          <reference field="10" count="1" selected="0">
            <x v="4"/>
          </reference>
        </references>
      </pivotArea>
    </chartFormat>
    <chartFormat chart="3" format="11" series="1">
      <pivotArea type="data" outline="0" fieldPosition="0">
        <references count="2">
          <reference field="4294967294" count="1" selected="0">
            <x v="0"/>
          </reference>
          <reference field="10" count="1" selected="0">
            <x v="5"/>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AA3BA6-495F-4601-87F2-D81C32D846DF}" name="PivotTable15"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showAll="0"/>
    <pivotField showAll="0"/>
    <pivotField showAll="0"/>
    <pivotField showAll="0">
      <items count="8">
        <item x="0"/>
        <item x="5"/>
        <item x="1"/>
        <item x="4"/>
        <item x="3"/>
        <item x="2"/>
        <item m="1" x="6"/>
        <item t="default"/>
      </items>
    </pivotField>
    <pivotField numFmtId="14" showAll="0"/>
    <pivotField dataField="1" showAll="0"/>
    <pivotField showAll="0"/>
    <pivotField showAll="0"/>
    <pivotField showAll="0"/>
    <pivotField axis="axisRow" showAll="0">
      <items count="4">
        <item x="0"/>
        <item x="1"/>
        <item x="2"/>
        <item t="default"/>
      </items>
    </pivotField>
    <pivotField showAll="0">
      <items count="8">
        <item x="0"/>
        <item x="4"/>
        <item x="5"/>
        <item x="3"/>
        <item x="1"/>
        <item x="2"/>
        <item m="1" x="6"/>
        <item t="default"/>
      </items>
    </pivotField>
    <pivotField showAll="0"/>
    <pivotField showAll="0"/>
    <pivotField showAll="0"/>
  </pivotFields>
  <rowFields count="1">
    <field x="9"/>
  </rowFields>
  <rowItems count="4">
    <i>
      <x/>
    </i>
    <i>
      <x v="1"/>
    </i>
    <i>
      <x v="2"/>
    </i>
    <i t="grand">
      <x/>
    </i>
  </rowItems>
  <colItems count="1">
    <i/>
  </colItems>
  <dataFields count="1">
    <dataField name="Average of Salary" fld="5" subtotal="average" baseField="9"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6D8A51-2378-4174-8641-DAD99815707B}" name="PivotTable16"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4">
    <pivotField showAll="0"/>
    <pivotField showAll="0"/>
    <pivotField showAll="0"/>
    <pivotField axis="axisRow" showAll="0" sortType="descending">
      <items count="8">
        <item x="0"/>
        <item x="5"/>
        <item x="1"/>
        <item x="4"/>
        <item x="3"/>
        <item x="2"/>
        <item m="1" x="6"/>
        <item t="default"/>
      </items>
      <autoSortScope>
        <pivotArea dataOnly="0" outline="0" fieldPosition="0">
          <references count="1">
            <reference field="4294967294" count="1" selected="0">
              <x v="0"/>
            </reference>
          </references>
        </pivotArea>
      </autoSortScope>
    </pivotField>
    <pivotField numFmtId="14" showAll="0"/>
    <pivotField dataField="1" showAll="0"/>
    <pivotField showAll="0"/>
    <pivotField showAll="0"/>
    <pivotField showAll="0"/>
    <pivotField showAll="0"/>
    <pivotField showAll="0">
      <items count="8">
        <item x="0"/>
        <item x="4"/>
        <item x="5"/>
        <item x="3"/>
        <item x="1"/>
        <item x="2"/>
        <item m="1" x="6"/>
        <item t="default"/>
      </items>
    </pivotField>
    <pivotField showAll="0"/>
    <pivotField showAll="0"/>
    <pivotField showAll="0"/>
  </pivotFields>
  <rowFields count="1">
    <field x="3"/>
  </rowFields>
  <rowItems count="7">
    <i>
      <x v="2"/>
    </i>
    <i>
      <x/>
    </i>
    <i>
      <x v="5"/>
    </i>
    <i>
      <x v="3"/>
    </i>
    <i>
      <x v="1"/>
    </i>
    <i>
      <x v="4"/>
    </i>
    <i t="grand">
      <x/>
    </i>
  </rowItems>
  <colItems count="1">
    <i/>
  </colItems>
  <dataFields count="1">
    <dataField name="Sum of Salary" fld="5"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776E66-B59A-4C8C-A962-A3096B3F5AF3}" name="PivotTable17"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4">
    <pivotField showAll="0"/>
    <pivotField showAll="0"/>
    <pivotField showAll="0"/>
    <pivotField axis="axisRow" showAll="0" sortType="descending">
      <items count="8">
        <item x="0"/>
        <item x="5"/>
        <item x="1"/>
        <item x="4"/>
        <item x="3"/>
        <item x="2"/>
        <item m="1" x="6"/>
        <item t="default"/>
      </items>
      <autoSortScope>
        <pivotArea dataOnly="0" outline="0" fieldPosition="0">
          <references count="1">
            <reference field="4294967294" count="1" selected="0">
              <x v="0"/>
            </reference>
          </references>
        </pivotArea>
      </autoSortScope>
    </pivotField>
    <pivotField numFmtId="14" showAll="0"/>
    <pivotField dataField="1" showAll="0"/>
    <pivotField showAll="0"/>
    <pivotField showAll="0"/>
    <pivotField showAll="0"/>
    <pivotField showAll="0"/>
    <pivotField showAll="0">
      <items count="8">
        <item x="0"/>
        <item x="4"/>
        <item x="5"/>
        <item x="3"/>
        <item x="1"/>
        <item x="2"/>
        <item m="1" x="6"/>
        <item t="default"/>
      </items>
    </pivotField>
    <pivotField showAll="0"/>
    <pivotField showAll="0"/>
    <pivotField showAll="0"/>
  </pivotFields>
  <rowFields count="1">
    <field x="3"/>
  </rowFields>
  <rowItems count="7">
    <i>
      <x v="2"/>
    </i>
    <i>
      <x/>
    </i>
    <i>
      <x v="5"/>
    </i>
    <i>
      <x v="3"/>
    </i>
    <i>
      <x v="1"/>
    </i>
    <i>
      <x v="4"/>
    </i>
    <i t="grand">
      <x/>
    </i>
  </rowItems>
  <colItems count="1">
    <i/>
  </colItems>
  <dataFields count="1">
    <dataField name="Sum of Salary" fld="5" baseField="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2AB03F-324C-4F4E-AC28-B862E5F5E9D4}" name="PivotTable18"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7" firstHeaderRow="1" firstDataRow="1" firstDataCol="1"/>
  <pivotFields count="14">
    <pivotField dataField="1" showAll="0"/>
    <pivotField showAll="0"/>
    <pivotField axis="axisRow" showAll="0" sortType="descending">
      <items count="24">
        <item x="15"/>
        <item x="18"/>
        <item x="1"/>
        <item x="19"/>
        <item x="4"/>
        <item x="6"/>
        <item x="2"/>
        <item x="12"/>
        <item x="5"/>
        <item x="21"/>
        <item x="9"/>
        <item x="0"/>
        <item x="16"/>
        <item x="22"/>
        <item x="11"/>
        <item x="8"/>
        <item x="17"/>
        <item x="3"/>
        <item x="13"/>
        <item x="20"/>
        <item x="7"/>
        <item x="10"/>
        <item x="14"/>
        <item t="default"/>
      </items>
      <autoSortScope>
        <pivotArea dataOnly="0" outline="0" fieldPosition="0">
          <references count="1">
            <reference field="4294967294" count="1" selected="0">
              <x v="0"/>
            </reference>
          </references>
        </pivotArea>
      </autoSortScope>
    </pivotField>
    <pivotField showAll="0">
      <items count="8">
        <item x="0"/>
        <item x="5"/>
        <item x="1"/>
        <item x="4"/>
        <item x="3"/>
        <item x="2"/>
        <item m="1" x="6"/>
        <item t="default"/>
      </items>
    </pivotField>
    <pivotField numFmtId="14" showAll="0"/>
    <pivotField showAll="0"/>
    <pivotField showAll="0"/>
    <pivotField showAll="0"/>
    <pivotField showAll="0"/>
    <pivotField showAll="0"/>
    <pivotField showAll="0">
      <items count="8">
        <item x="0"/>
        <item x="4"/>
        <item x="5"/>
        <item x="3"/>
        <item x="1"/>
        <item x="2"/>
        <item m="1" x="6"/>
        <item t="default"/>
      </items>
    </pivotField>
    <pivotField showAll="0"/>
    <pivotField showAll="0"/>
    <pivotField showAll="0"/>
  </pivotFields>
  <rowFields count="1">
    <field x="2"/>
  </rowFields>
  <rowItems count="24">
    <i>
      <x v="6"/>
    </i>
    <i>
      <x v="20"/>
    </i>
    <i>
      <x v="8"/>
    </i>
    <i>
      <x v="2"/>
    </i>
    <i>
      <x v="4"/>
    </i>
    <i>
      <x v="11"/>
    </i>
    <i>
      <x v="21"/>
    </i>
    <i>
      <x v="17"/>
    </i>
    <i>
      <x v="15"/>
    </i>
    <i>
      <x v="7"/>
    </i>
    <i>
      <x v="19"/>
    </i>
    <i>
      <x v="1"/>
    </i>
    <i>
      <x v="3"/>
    </i>
    <i>
      <x v="9"/>
    </i>
    <i>
      <x v="16"/>
    </i>
    <i>
      <x v="10"/>
    </i>
    <i>
      <x v="18"/>
    </i>
    <i>
      <x/>
    </i>
    <i>
      <x v="5"/>
    </i>
    <i>
      <x v="12"/>
    </i>
    <i>
      <x v="22"/>
    </i>
    <i>
      <x v="13"/>
    </i>
    <i>
      <x v="14"/>
    </i>
    <i t="grand">
      <x/>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FCA352-C215-4B29-87E9-FC374C33458C}" name="PivotTable19"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5" firstHeaderRow="1" firstDataRow="1" firstDataCol="1"/>
  <pivotFields count="14">
    <pivotField dataField="1" showAll="0"/>
    <pivotField showAll="0"/>
    <pivotField showAll="0"/>
    <pivotField showAll="0">
      <items count="8">
        <item x="0"/>
        <item x="5"/>
        <item x="1"/>
        <item x="4"/>
        <item x="3"/>
        <item x="2"/>
        <item m="1" x="6"/>
        <item t="default"/>
      </items>
    </pivotField>
    <pivotField numFmtId="14" showAll="0"/>
    <pivotField showAll="0"/>
    <pivotField showAll="0"/>
    <pivotField showAll="0"/>
    <pivotField showAll="0"/>
    <pivotField showAll="0"/>
    <pivotField showAll="0">
      <items count="8">
        <item x="0"/>
        <item x="4"/>
        <item x="5"/>
        <item x="3"/>
        <item x="1"/>
        <item x="2"/>
        <item m="1" x="6"/>
        <item t="default"/>
      </items>
    </pivotField>
    <pivotField showAll="0"/>
    <pivotField axis="axisRow" showAll="0">
      <items count="12">
        <item x="0"/>
        <item x="8"/>
        <item x="7"/>
        <item x="5"/>
        <item x="3"/>
        <item x="6"/>
        <item x="1"/>
        <item x="2"/>
        <item x="4"/>
        <item x="9"/>
        <item x="10"/>
        <item t="default"/>
      </items>
    </pivotField>
    <pivotField showAll="0"/>
  </pivotFields>
  <rowFields count="1">
    <field x="12"/>
  </rowFields>
  <rowItems count="12">
    <i>
      <x/>
    </i>
    <i>
      <x v="1"/>
    </i>
    <i>
      <x v="2"/>
    </i>
    <i>
      <x v="3"/>
    </i>
    <i>
      <x v="4"/>
    </i>
    <i>
      <x v="5"/>
    </i>
    <i>
      <x v="6"/>
    </i>
    <i>
      <x v="7"/>
    </i>
    <i>
      <x v="8"/>
    </i>
    <i>
      <x v="9"/>
    </i>
    <i>
      <x v="10"/>
    </i>
    <i t="grand">
      <x/>
    </i>
  </rowItems>
  <colItems count="1">
    <i/>
  </colItems>
  <dataFields count="1">
    <dataField name="Count of EmpID" fld="0"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51AA0C-7BD5-425C-B8BF-A9405F9D8BBA}" name="PivotTable20"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0" firstHeaderRow="1" firstDataRow="1" firstDataCol="1"/>
  <pivotFields count="14">
    <pivotField showAll="0"/>
    <pivotField showAll="0"/>
    <pivotField showAll="0"/>
    <pivotField axis="axisRow" showAll="0" sortType="ascending">
      <items count="8">
        <item m="1" x="6"/>
        <item x="2"/>
        <item x="3"/>
        <item x="4"/>
        <item x="1"/>
        <item x="5"/>
        <item x="0"/>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dataField="1" showAll="0"/>
    <pivotField showAll="0"/>
    <pivotField showAll="0">
      <items count="8">
        <item x="0"/>
        <item x="4"/>
        <item x="5"/>
        <item x="3"/>
        <item x="1"/>
        <item x="2"/>
        <item m="1" x="6"/>
        <item t="default"/>
      </items>
    </pivotField>
    <pivotField showAll="0"/>
    <pivotField showAll="0"/>
    <pivotField showAll="0"/>
  </pivotFields>
  <rowFields count="1">
    <field x="3"/>
  </rowFields>
  <rowItems count="7">
    <i>
      <x v="1"/>
    </i>
    <i>
      <x v="3"/>
    </i>
    <i>
      <x v="4"/>
    </i>
    <i>
      <x v="5"/>
    </i>
    <i>
      <x v="6"/>
    </i>
    <i>
      <x v="2"/>
    </i>
    <i t="grand">
      <x/>
    </i>
  </rowItems>
  <colItems count="1">
    <i/>
  </colItems>
  <dataFields count="1">
    <dataField name="Average of YearsExperience" fld="8"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E6CBC6E-1AD7-4C0A-BFD8-894AB606C5B2}" name="PivotTable21"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7" firstHeaderRow="1" firstDataRow="1" firstDataCol="1"/>
  <pivotFields count="14">
    <pivotField dataField="1" showAll="0"/>
    <pivotField showAll="0"/>
    <pivotField showAll="0"/>
    <pivotField showAll="0">
      <items count="8">
        <item x="0"/>
        <item x="5"/>
        <item x="1"/>
        <item x="4"/>
        <item x="3"/>
        <item x="2"/>
        <item m="1" x="6"/>
        <item t="default"/>
      </items>
    </pivotField>
    <pivotField numFmtId="14" showAll="0"/>
    <pivotField showAll="0"/>
    <pivotField showAll="0"/>
    <pivotField showAll="0"/>
    <pivotField showAll="0"/>
    <pivotField showAll="0"/>
    <pivotField showAll="0">
      <items count="8">
        <item x="0"/>
        <item x="4"/>
        <item x="5"/>
        <item x="3"/>
        <item x="1"/>
        <item x="2"/>
        <item m="1" x="6"/>
        <item t="default"/>
      </items>
    </pivotField>
    <pivotField axis="axisRow" showAll="0" sortType="descending">
      <items count="25">
        <item m="1" x="23"/>
        <item x="10"/>
        <item x="0"/>
        <item x="16"/>
        <item x="4"/>
        <item x="19"/>
        <item x="2"/>
        <item x="9"/>
        <item x="6"/>
        <item x="12"/>
        <item x="14"/>
        <item x="8"/>
        <item x="11"/>
        <item x="22"/>
        <item x="18"/>
        <item x="15"/>
        <item x="3"/>
        <item x="5"/>
        <item x="21"/>
        <item x="17"/>
        <item x="7"/>
        <item x="1"/>
        <item x="13"/>
        <item x="20"/>
        <item t="default"/>
      </items>
      <autoSortScope>
        <pivotArea dataOnly="0" outline="0" fieldPosition="0">
          <references count="1">
            <reference field="4294967294" count="1" selected="0">
              <x v="0"/>
            </reference>
          </references>
        </pivotArea>
      </autoSortScope>
    </pivotField>
    <pivotField showAll="0"/>
    <pivotField showAll="0"/>
  </pivotFields>
  <rowFields count="1">
    <field x="11"/>
  </rowFields>
  <rowItems count="24">
    <i>
      <x v="2"/>
    </i>
    <i>
      <x v="4"/>
    </i>
    <i>
      <x v="21"/>
    </i>
    <i>
      <x v="17"/>
    </i>
    <i>
      <x v="13"/>
    </i>
    <i>
      <x v="19"/>
    </i>
    <i>
      <x v="5"/>
    </i>
    <i>
      <x v="15"/>
    </i>
    <i>
      <x v="6"/>
    </i>
    <i>
      <x v="1"/>
    </i>
    <i>
      <x v="7"/>
    </i>
    <i>
      <x v="14"/>
    </i>
    <i>
      <x v="8"/>
    </i>
    <i>
      <x v="16"/>
    </i>
    <i>
      <x v="9"/>
    </i>
    <i>
      <x v="18"/>
    </i>
    <i>
      <x v="20"/>
    </i>
    <i>
      <x v="3"/>
    </i>
    <i>
      <x v="22"/>
    </i>
    <i>
      <x v="10"/>
    </i>
    <i>
      <x v="23"/>
    </i>
    <i>
      <x v="11"/>
    </i>
    <i>
      <x v="12"/>
    </i>
    <i t="grand">
      <x/>
    </i>
  </rowItems>
  <colItems count="1">
    <i/>
  </colItems>
  <dataFields count="1">
    <dataField name="Count of EmpID" fld="0" subtotal="count" baseField="0" baseItem="0"/>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CA2DC4-7205-4075-9868-D8D5C2AA20DD}" name="PivotTable23"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10:F34" firstHeaderRow="1" firstDataRow="1" firstDataCol="1"/>
  <pivotFields count="14">
    <pivotField showAll="0"/>
    <pivotField showAll="0"/>
    <pivotField showAll="0"/>
    <pivotField showAll="0">
      <items count="8">
        <item x="0"/>
        <item x="5"/>
        <item x="1"/>
        <item x="4"/>
        <item x="3"/>
        <item x="2"/>
        <item m="1" x="6"/>
        <item t="default"/>
      </items>
    </pivotField>
    <pivotField numFmtId="14" showAll="0"/>
    <pivotField dataField="1" showAll="0"/>
    <pivotField showAll="0"/>
    <pivotField showAll="0"/>
    <pivotField showAll="0"/>
    <pivotField showAll="0"/>
    <pivotField showAll="0">
      <items count="8">
        <item x="0"/>
        <item x="4"/>
        <item x="5"/>
        <item x="3"/>
        <item x="1"/>
        <item x="2"/>
        <item m="1" x="6"/>
        <item t="default"/>
      </items>
    </pivotField>
    <pivotField axis="axisRow" showAll="0" sortType="descending">
      <items count="25">
        <item m="1" x="23"/>
        <item x="10"/>
        <item x="0"/>
        <item x="16"/>
        <item x="4"/>
        <item x="19"/>
        <item x="2"/>
        <item x="9"/>
        <item x="6"/>
        <item x="12"/>
        <item x="14"/>
        <item x="8"/>
        <item x="11"/>
        <item x="22"/>
        <item x="18"/>
        <item x="15"/>
        <item x="3"/>
        <item x="5"/>
        <item x="21"/>
        <item x="17"/>
        <item x="7"/>
        <item x="1"/>
        <item x="13"/>
        <item x="20"/>
        <item t="default"/>
      </items>
      <autoSortScope>
        <pivotArea dataOnly="0" outline="0" fieldPosition="0">
          <references count="1">
            <reference field="4294967294" count="1" selected="0">
              <x v="0"/>
            </reference>
          </references>
        </pivotArea>
      </autoSortScope>
    </pivotField>
    <pivotField showAll="0"/>
    <pivotField showAll="0"/>
  </pivotFields>
  <rowFields count="1">
    <field x="11"/>
  </rowFields>
  <rowItems count="24">
    <i>
      <x v="21"/>
    </i>
    <i>
      <x v="4"/>
    </i>
    <i>
      <x v="2"/>
    </i>
    <i>
      <x v="17"/>
    </i>
    <i>
      <x v="3"/>
    </i>
    <i>
      <x v="22"/>
    </i>
    <i>
      <x v="6"/>
    </i>
    <i>
      <x v="7"/>
    </i>
    <i>
      <x v="18"/>
    </i>
    <i>
      <x v="16"/>
    </i>
    <i>
      <x v="12"/>
    </i>
    <i>
      <x v="10"/>
    </i>
    <i>
      <x v="1"/>
    </i>
    <i>
      <x v="13"/>
    </i>
    <i>
      <x v="14"/>
    </i>
    <i>
      <x v="8"/>
    </i>
    <i>
      <x v="23"/>
    </i>
    <i>
      <x v="5"/>
    </i>
    <i>
      <x v="9"/>
    </i>
    <i>
      <x v="15"/>
    </i>
    <i>
      <x v="20"/>
    </i>
    <i>
      <x v="11"/>
    </i>
    <i>
      <x v="19"/>
    </i>
    <i t="grand">
      <x/>
    </i>
  </rowItems>
  <colItems count="1">
    <i/>
  </colItems>
  <dataFields count="1">
    <dataField name="Sum of Salary" fld="5" baseField="11" baseItem="3" numFmtId="164"/>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4972CEA-16F3-48D8-8202-78BE0CBEA7DD}" name="PivotTable22"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0" firstHeaderRow="0" firstDataRow="1" firstDataCol="1"/>
  <pivotFields count="14">
    <pivotField showAll="0"/>
    <pivotField showAll="0"/>
    <pivotField showAll="0"/>
    <pivotField axis="axisRow" showAll="0">
      <items count="8">
        <item x="0"/>
        <item x="5"/>
        <item x="1"/>
        <item x="4"/>
        <item x="3"/>
        <item x="2"/>
        <item m="1" x="6"/>
        <item t="default"/>
      </items>
    </pivotField>
    <pivotField numFmtId="14" showAll="0"/>
    <pivotField dataField="1" showAll="0"/>
    <pivotField showAll="0"/>
    <pivotField showAll="0"/>
    <pivotField showAll="0"/>
    <pivotField showAll="0"/>
    <pivotField showAll="0">
      <items count="8">
        <item x="0"/>
        <item x="4"/>
        <item x="5"/>
        <item x="3"/>
        <item x="1"/>
        <item x="2"/>
        <item m="1" x="6"/>
        <item t="default"/>
      </items>
    </pivotField>
    <pivotField showAll="0"/>
    <pivotField showAll="0"/>
    <pivotField showAll="0"/>
  </pivotFields>
  <rowFields count="1">
    <field x="3"/>
  </rowFields>
  <rowItems count="7">
    <i>
      <x/>
    </i>
    <i>
      <x v="1"/>
    </i>
    <i>
      <x v="2"/>
    </i>
    <i>
      <x v="3"/>
    </i>
    <i>
      <x v="4"/>
    </i>
    <i>
      <x v="5"/>
    </i>
    <i t="grand">
      <x/>
    </i>
  </rowItems>
  <colFields count="1">
    <field x="-2"/>
  </colFields>
  <colItems count="2">
    <i>
      <x/>
    </i>
    <i i="1">
      <x v="1"/>
    </i>
  </colItems>
  <dataFields count="2">
    <dataField name="Sum of Salary" fld="5" baseField="3" baseItem="0" numFmtId="164"/>
    <dataField name="Average of Salary" fld="5" subtotal="average" baseField="3" baseItem="0" numFmtId="164"/>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1CD6F63E-F53F-4755-B0D5-E8EB04200961}" autoFormatId="16" applyNumberFormats="0" applyBorderFormats="0" applyFontFormats="0" applyPatternFormats="0" applyAlignmentFormats="0" applyWidthHeightFormats="0">
  <queryTableRefresh nextId="28" unboundColumnsRight="2">
    <queryTableFields count="14">
      <queryTableField id="11" name="EmpID" tableColumnId="11"/>
      <queryTableField id="12" name="FullName" tableColumnId="12"/>
      <queryTableField id="13" name="JobTitle" tableColumnId="13"/>
      <queryTableField id="14" name="Department" tableColumnId="14"/>
      <queryTableField id="15" name="HireDate" tableColumnId="15"/>
      <queryTableField id="16" name="Salary" tableColumnId="16"/>
      <queryTableField id="20" dataBound="0" tableColumnId="21"/>
      <queryTableField id="22" dataBound="0" tableColumnId="23"/>
      <queryTableField id="17" name="YearsExperience" tableColumnId="17"/>
      <queryTableField id="23" dataBound="0" tableColumnId="24"/>
      <queryTableField id="18" name="Country" tableColumnId="18"/>
      <queryTableField id="19" name="City" tableColumnId="19"/>
      <queryTableField id="25" dataBound="0" tableColumnId="26"/>
      <queryTableField id="26" dataBound="0" tableColumnId="2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D90225D-3CC6-417B-B86D-EBED9EB3B341}"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695DBD5-452C-46E3-A950-B1008448EA44}" sourceName="Department">
  <pivotTables>
    <pivotTable tabId="27" name="PivotTable22"/>
    <pivotTable tabId="7" name="PivotTable6"/>
    <pivotTable tabId="13" name="PivotTable9"/>
    <pivotTable tabId="14" name="PivotTable10"/>
    <pivotTable tabId="16" name="PivotTable12"/>
    <pivotTable tabId="19" name="PivotTable15"/>
    <pivotTable tabId="20" name="PivotTable16"/>
    <pivotTable tabId="21" name="PivotTable17"/>
    <pivotTable tabId="22" name="PivotTable18"/>
    <pivotTable tabId="25" name="PivotTable21"/>
    <pivotTable tabId="23" name="PivotTable19"/>
    <pivotTable tabId="24" name="PivotTable20"/>
    <pivotTable tabId="25" name="PivotTable23"/>
  </pivotTables>
  <data>
    <tabular pivotCacheId="1201034554">
      <items count="7">
        <i x="0" s="1"/>
        <i x="5" s="1"/>
        <i x="1" s="1"/>
        <i x="4" s="1"/>
        <i x="3" s="1"/>
        <i x="2"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B9FB52C-CFC0-4E35-8024-6F79E1D03755}" sourceName="Country">
  <pivotTables>
    <pivotTable tabId="27" name="PivotTable22"/>
    <pivotTable tabId="7" name="PivotTable6"/>
    <pivotTable tabId="13" name="PivotTable9"/>
    <pivotTable tabId="14" name="PivotTable10"/>
    <pivotTable tabId="16" name="PivotTable12"/>
    <pivotTable tabId="19" name="PivotTable15"/>
    <pivotTable tabId="20" name="PivotTable16"/>
    <pivotTable tabId="21" name="PivotTable17"/>
    <pivotTable tabId="22" name="PivotTable18"/>
    <pivotTable tabId="25" name="PivotTable21"/>
    <pivotTable tabId="23" name="PivotTable19"/>
    <pivotTable tabId="24" name="PivotTable20"/>
    <pivotTable tabId="25" name="PivotTable23"/>
  </pivotTables>
  <data>
    <tabular pivotCacheId="1201034554">
      <items count="7">
        <i x="0" s="1"/>
        <i x="4" s="1"/>
        <i x="5" s="1"/>
        <i x="3" s="1"/>
        <i x="1" s="1"/>
        <i x="2"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C211758-0F24-4272-B00D-4581EB8D0D9E}" cache="Slicer_Department" caption="Department" rowHeight="251883"/>
  <slicer name="Department 1" xr10:uid="{7209B981-C1A6-480C-8543-7B4883FA6CB8}" cache="Slicer_Department" caption="Department" rowHeight="251883"/>
  <slicer name="Country" xr10:uid="{A8E0AC9C-1128-47B8-9AF3-F73B80E74A36}" cache="Slicer_Country" caption="Country" rowHeight="251883"/>
  <slicer name="Country 1" xr10:uid="{D9349485-5FFA-4FE3-B465-B166A3F5E05D}" cache="Slicer_Country" caption="Country"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FB44E9-27AF-4F02-B1E3-328D895DBEF1}" name="Page001__2_1" displayName="Page001__2_1" ref="A1:N31" tableType="queryTable" totalsRowShown="0">
  <autoFilter ref="A1:N31" xr:uid="{D9FB44E9-27AF-4F02-B1E3-328D895DBEF1}"/>
  <tableColumns count="14">
    <tableColumn id="11" xr3:uid="{58A13AA4-2B6C-49E6-A27F-A2C1FFF2C93D}" uniqueName="11" name="EmpID" queryTableFieldId="11" dataDxfId="12"/>
    <tableColumn id="12" xr3:uid="{A7A0575E-3EAE-446E-9DA9-869A0AC44DED}" uniqueName="12" name="FullName" queryTableFieldId="12" dataDxfId="11"/>
    <tableColumn id="13" xr3:uid="{460E8B12-1662-4D5F-9577-E313B63D7F87}" uniqueName="13" name="JobTitle" queryTableFieldId="13" dataDxfId="10"/>
    <tableColumn id="14" xr3:uid="{132BCF00-BFDF-4BCF-98A4-685086707012}" uniqueName="14" name="Department" queryTableFieldId="14" dataDxfId="9"/>
    <tableColumn id="15" xr3:uid="{7601C90F-B294-421C-BFB2-45BAE1056EA7}" uniqueName="15" name="HireDate" queryTableFieldId="15" dataDxfId="8"/>
    <tableColumn id="16" xr3:uid="{985EA28C-1172-40B7-BA79-A668F5A0BA2C}" uniqueName="16" name="Salary" queryTableFieldId="16"/>
    <tableColumn id="21" xr3:uid="{EEECB342-11A5-4266-A202-D83B78049E96}" uniqueName="21" name="Avg Dept Salary" queryTableFieldId="20" dataDxfId="7">
      <calculatedColumnFormula>AVERAGEIF(D:D,D2,F:F)</calculatedColumnFormula>
    </tableColumn>
    <tableColumn id="23" xr3:uid="{DB0541FE-210C-4B13-B79E-D1842C7EABB3}" uniqueName="23" name="Salary Class" queryTableFieldId="22" dataDxfId="6">
      <calculatedColumnFormula>IF(Page001__2_1[[#This Row],[Salary]]&gt;Page001__2_1[[#This Row],[Avg Dept Salary]],"High Class","Below/Equal")</calculatedColumnFormula>
    </tableColumn>
    <tableColumn id="17" xr3:uid="{45698B3C-479F-42E6-8AC6-E9D7995CC76D}" uniqueName="17" name="YearsExperience" queryTableFieldId="17"/>
    <tableColumn id="24" xr3:uid="{27B3B288-C490-4F70-ADFE-ECD72C88CE55}" uniqueName="24" name="Experience Tier" queryTableFieldId="23" dataDxfId="5">
      <calculatedColumnFormula>IF(Page001__2_1[[#This Row],[YearsExperience]]&gt;10,"High Experience",IF(Page001__2_1[[#This Row],[YearsExperience]]&gt;5,"Medium Experience","Low Experience"))</calculatedColumnFormula>
    </tableColumn>
    <tableColumn id="18" xr3:uid="{0BA61E96-5D4E-4849-B36D-BF21CB45F58B}" uniqueName="18" name="Country" queryTableFieldId="18" dataDxfId="4"/>
    <tableColumn id="19" xr3:uid="{FB34936D-4F70-4E7E-9D48-B00E8A5E9F08}" uniqueName="19" name="City" queryTableFieldId="19" dataDxfId="3"/>
    <tableColumn id="26" xr3:uid="{42CD1DCA-9307-43BD-8ADB-7589E175B4AC}" uniqueName="26" name="Hire Year" queryTableFieldId="25" dataDxfId="2">
      <calculatedColumnFormula>YEAR(E2)</calculatedColumnFormula>
    </tableColumn>
    <tableColumn id="27" xr3:uid="{64DDEF10-9FF2-4F5D-B245-69E0EE76740A}" uniqueName="27" name="Retention Risk" queryTableFieldId="26"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3165EB-A29A-4F9C-A71F-E346FCF40E62}" name="Page001__2" displayName="Page001__2" ref="A1:A32" tableType="queryTable" totalsRowShown="0">
  <autoFilter ref="A1:A32" xr:uid="{823165EB-A29A-4F9C-A71F-E346FCF40E62}"/>
  <tableColumns count="1">
    <tableColumn id="1" xr3:uid="{4001247D-6C3A-44F1-8C38-BC047FDBE373}" uniqueName="1" name="Column1" queryTableFieldId="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764F-17C6-49F2-8822-CB64E9EB6B64}">
  <dimension ref="A3:E10"/>
  <sheetViews>
    <sheetView workbookViewId="0">
      <selection activeCell="B4" sqref="B4"/>
    </sheetView>
  </sheetViews>
  <sheetFormatPr defaultRowHeight="14.5" x14ac:dyDescent="0.35"/>
  <cols>
    <col min="1" max="1" width="12.453125" bestFit="1" customWidth="1"/>
    <col min="2" max="2" width="23.90625" bestFit="1" customWidth="1"/>
    <col min="5" max="5" width="35.26953125" customWidth="1"/>
    <col min="6" max="6" width="16.6328125" customWidth="1"/>
  </cols>
  <sheetData>
    <row r="3" spans="1:5" x14ac:dyDescent="0.35">
      <c r="A3" s="3" t="s">
        <v>159</v>
      </c>
      <c r="B3" t="s">
        <v>161</v>
      </c>
    </row>
    <row r="4" spans="1:5" x14ac:dyDescent="0.35">
      <c r="A4" s="4" t="s">
        <v>70</v>
      </c>
      <c r="B4" s="10">
        <v>13</v>
      </c>
    </row>
    <row r="5" spans="1:5" x14ac:dyDescent="0.35">
      <c r="A5" s="4" t="s">
        <v>56</v>
      </c>
      <c r="B5" s="10">
        <v>10.559999999999999</v>
      </c>
      <c r="E5" s="5" t="s">
        <v>162</v>
      </c>
    </row>
    <row r="6" spans="1:5" x14ac:dyDescent="0.35">
      <c r="A6" s="4" t="s">
        <v>41</v>
      </c>
      <c r="B6" s="10">
        <v>8.75</v>
      </c>
      <c r="E6" t="s">
        <v>70</v>
      </c>
    </row>
    <row r="7" spans="1:5" x14ac:dyDescent="0.35">
      <c r="A7" s="4" t="s">
        <v>35</v>
      </c>
      <c r="B7" s="10">
        <v>7.5333333333333332</v>
      </c>
    </row>
    <row r="8" spans="1:5" x14ac:dyDescent="0.35">
      <c r="A8" s="4" t="s">
        <v>82</v>
      </c>
      <c r="B8" s="10">
        <v>7.1199999999999992</v>
      </c>
    </row>
    <row r="9" spans="1:5" x14ac:dyDescent="0.35">
      <c r="A9" s="4" t="s">
        <v>66</v>
      </c>
      <c r="B9" s="10">
        <v>5.34</v>
      </c>
    </row>
    <row r="10" spans="1:5" x14ac:dyDescent="0.35">
      <c r="A10" s="4" t="s">
        <v>160</v>
      </c>
      <c r="B10" s="10">
        <v>8.129999999999999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31625-03AD-4258-AF3E-90F7AF48AA70}">
  <dimension ref="A3:B10"/>
  <sheetViews>
    <sheetView workbookViewId="0">
      <selection activeCell="B6" sqref="B6"/>
    </sheetView>
  </sheetViews>
  <sheetFormatPr defaultRowHeight="14.5" x14ac:dyDescent="0.35"/>
  <cols>
    <col min="1" max="1" width="12.453125" bestFit="1" customWidth="1"/>
    <col min="2" max="2" width="15" bestFit="1" customWidth="1"/>
  </cols>
  <sheetData>
    <row r="3" spans="1:2" x14ac:dyDescent="0.35">
      <c r="A3" s="3" t="s">
        <v>159</v>
      </c>
      <c r="B3" t="s">
        <v>163</v>
      </c>
    </row>
    <row r="4" spans="1:2" x14ac:dyDescent="0.35">
      <c r="A4" s="4" t="s">
        <v>56</v>
      </c>
      <c r="B4" s="6">
        <v>91752.645999999993</v>
      </c>
    </row>
    <row r="5" spans="1:2" x14ac:dyDescent="0.35">
      <c r="A5" s="4" t="s">
        <v>41</v>
      </c>
      <c r="B5" s="6">
        <v>80025.5625</v>
      </c>
    </row>
    <row r="6" spans="1:2" x14ac:dyDescent="0.35">
      <c r="A6" s="4" t="s">
        <v>35</v>
      </c>
      <c r="B6" s="6">
        <v>113293.46888888888</v>
      </c>
    </row>
    <row r="7" spans="1:2" x14ac:dyDescent="0.35">
      <c r="A7" s="4" t="s">
        <v>82</v>
      </c>
      <c r="B7" s="6">
        <v>78200.459999999992</v>
      </c>
    </row>
    <row r="8" spans="1:2" x14ac:dyDescent="0.35">
      <c r="A8" s="4" t="s">
        <v>70</v>
      </c>
      <c r="B8" s="6">
        <v>130150.47500000001</v>
      </c>
    </row>
    <row r="9" spans="1:2" x14ac:dyDescent="0.35">
      <c r="A9" s="4" t="s">
        <v>66</v>
      </c>
      <c r="B9" s="6">
        <v>90305.05</v>
      </c>
    </row>
    <row r="10" spans="1:2" x14ac:dyDescent="0.35">
      <c r="A10" s="4" t="s">
        <v>160</v>
      </c>
      <c r="B10" s="6">
        <v>96711.17333333334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40C83-6DFA-4502-AB49-B5EC6640FB05}">
  <dimension ref="A3:B10"/>
  <sheetViews>
    <sheetView workbookViewId="0">
      <selection activeCell="B9" sqref="B9"/>
    </sheetView>
  </sheetViews>
  <sheetFormatPr defaultRowHeight="14.5" x14ac:dyDescent="0.35"/>
  <cols>
    <col min="1" max="1" width="12.453125" bestFit="1" customWidth="1"/>
    <col min="2" max="2" width="13.90625" bestFit="1" customWidth="1"/>
  </cols>
  <sheetData>
    <row r="3" spans="1:2" x14ac:dyDescent="0.35">
      <c r="A3" s="3" t="s">
        <v>159</v>
      </c>
      <c r="B3" t="s">
        <v>168</v>
      </c>
    </row>
    <row r="4" spans="1:2" x14ac:dyDescent="0.35">
      <c r="A4" s="4" t="s">
        <v>42</v>
      </c>
      <c r="B4" s="10">
        <v>7</v>
      </c>
    </row>
    <row r="5" spans="1:2" x14ac:dyDescent="0.35">
      <c r="A5" s="4" t="s">
        <v>62</v>
      </c>
      <c r="B5" s="10">
        <v>5</v>
      </c>
    </row>
    <row r="6" spans="1:2" x14ac:dyDescent="0.35">
      <c r="A6" s="4" t="s">
        <v>36</v>
      </c>
      <c r="B6" s="10">
        <v>5</v>
      </c>
    </row>
    <row r="7" spans="1:2" x14ac:dyDescent="0.35">
      <c r="A7" s="4" t="s">
        <v>92</v>
      </c>
      <c r="B7" s="10">
        <v>2</v>
      </c>
    </row>
    <row r="8" spans="1:2" x14ac:dyDescent="0.35">
      <c r="A8" s="4" t="s">
        <v>83</v>
      </c>
      <c r="B8" s="10">
        <v>4</v>
      </c>
    </row>
    <row r="9" spans="1:2" x14ac:dyDescent="0.35">
      <c r="A9" s="4" t="s">
        <v>57</v>
      </c>
      <c r="B9" s="10">
        <v>7</v>
      </c>
    </row>
    <row r="10" spans="1:2" x14ac:dyDescent="0.35">
      <c r="A10" s="4" t="s">
        <v>160</v>
      </c>
      <c r="B10" s="10">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28BE-8B84-40B5-BCE6-E7F82925FAE3}">
  <dimension ref="A3:H11"/>
  <sheetViews>
    <sheetView workbookViewId="0">
      <selection activeCell="H11" sqref="H11"/>
    </sheetView>
  </sheetViews>
  <sheetFormatPr defaultRowHeight="14.5" x14ac:dyDescent="0.35"/>
  <cols>
    <col min="1" max="1" width="13.90625" bestFit="1" customWidth="1"/>
    <col min="2" max="2" width="15.6328125" bestFit="1" customWidth="1"/>
    <col min="3" max="3" width="6.54296875" bestFit="1" customWidth="1"/>
    <col min="4" max="4" width="8.36328125" bestFit="1" customWidth="1"/>
    <col min="5" max="5" width="5.08984375" bestFit="1" customWidth="1"/>
    <col min="6" max="6" width="3.1796875" bestFit="1" customWidth="1"/>
    <col min="7" max="7" width="4.26953125" bestFit="1" customWidth="1"/>
    <col min="8" max="8" width="10.36328125" bestFit="1" customWidth="1"/>
  </cols>
  <sheetData>
    <row r="3" spans="1:8" x14ac:dyDescent="0.35">
      <c r="A3" s="3" t="s">
        <v>168</v>
      </c>
      <c r="B3" s="3" t="s">
        <v>165</v>
      </c>
    </row>
    <row r="4" spans="1:8" x14ac:dyDescent="0.35">
      <c r="A4" s="3" t="s">
        <v>159</v>
      </c>
      <c r="B4" t="s">
        <v>57</v>
      </c>
      <c r="C4" t="s">
        <v>83</v>
      </c>
      <c r="D4" t="s">
        <v>92</v>
      </c>
      <c r="E4" t="s">
        <v>36</v>
      </c>
      <c r="F4" t="s">
        <v>62</v>
      </c>
      <c r="G4" t="s">
        <v>42</v>
      </c>
      <c r="H4" t="s">
        <v>160</v>
      </c>
    </row>
    <row r="5" spans="1:8" x14ac:dyDescent="0.35">
      <c r="A5" s="4" t="s">
        <v>56</v>
      </c>
      <c r="B5" s="10">
        <v>4</v>
      </c>
      <c r="C5" s="10"/>
      <c r="D5" s="10"/>
      <c r="E5" s="10">
        <v>1</v>
      </c>
      <c r="F5" s="10"/>
      <c r="G5" s="10"/>
      <c r="H5" s="10">
        <v>5</v>
      </c>
    </row>
    <row r="6" spans="1:8" x14ac:dyDescent="0.35">
      <c r="A6" s="4" t="s">
        <v>41</v>
      </c>
      <c r="B6" s="10">
        <v>1</v>
      </c>
      <c r="C6" s="10"/>
      <c r="D6" s="10"/>
      <c r="E6" s="10"/>
      <c r="F6" s="10"/>
      <c r="G6" s="10">
        <v>3</v>
      </c>
      <c r="H6" s="10">
        <v>4</v>
      </c>
    </row>
    <row r="7" spans="1:8" x14ac:dyDescent="0.35">
      <c r="A7" s="4" t="s">
        <v>35</v>
      </c>
      <c r="B7" s="10"/>
      <c r="C7" s="10">
        <v>1</v>
      </c>
      <c r="D7" s="10"/>
      <c r="E7" s="10">
        <v>4</v>
      </c>
      <c r="F7" s="10">
        <v>2</v>
      </c>
      <c r="G7" s="10">
        <v>2</v>
      </c>
      <c r="H7" s="10">
        <v>9</v>
      </c>
    </row>
    <row r="8" spans="1:8" x14ac:dyDescent="0.35">
      <c r="A8" s="4" t="s">
        <v>82</v>
      </c>
      <c r="B8" s="10"/>
      <c r="C8" s="10">
        <v>3</v>
      </c>
      <c r="D8" s="10">
        <v>1</v>
      </c>
      <c r="E8" s="10"/>
      <c r="F8" s="10">
        <v>1</v>
      </c>
      <c r="G8" s="10"/>
      <c r="H8" s="10">
        <v>5</v>
      </c>
    </row>
    <row r="9" spans="1:8" x14ac:dyDescent="0.35">
      <c r="A9" s="4" t="s">
        <v>70</v>
      </c>
      <c r="B9" s="10"/>
      <c r="C9" s="10"/>
      <c r="D9" s="10"/>
      <c r="E9" s="10"/>
      <c r="F9" s="10"/>
      <c r="G9" s="10">
        <v>2</v>
      </c>
      <c r="H9" s="10">
        <v>2</v>
      </c>
    </row>
    <row r="10" spans="1:8" x14ac:dyDescent="0.35">
      <c r="A10" s="4" t="s">
        <v>66</v>
      </c>
      <c r="B10" s="10">
        <v>2</v>
      </c>
      <c r="C10" s="10"/>
      <c r="D10" s="10">
        <v>1</v>
      </c>
      <c r="E10" s="10"/>
      <c r="F10" s="10">
        <v>2</v>
      </c>
      <c r="G10" s="10"/>
      <c r="H10" s="10">
        <v>5</v>
      </c>
    </row>
    <row r="11" spans="1:8" x14ac:dyDescent="0.35">
      <c r="A11" s="4" t="s">
        <v>160</v>
      </c>
      <c r="B11" s="10">
        <v>7</v>
      </c>
      <c r="C11" s="10">
        <v>4</v>
      </c>
      <c r="D11" s="10">
        <v>2</v>
      </c>
      <c r="E11" s="10">
        <v>5</v>
      </c>
      <c r="F11" s="10">
        <v>5</v>
      </c>
      <c r="G11" s="10">
        <v>7</v>
      </c>
      <c r="H11" s="10">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512F1-A08B-4255-A4C6-2E3E5379933E}">
  <dimension ref="A3:B7"/>
  <sheetViews>
    <sheetView workbookViewId="0">
      <selection activeCell="B6" sqref="B6"/>
    </sheetView>
  </sheetViews>
  <sheetFormatPr defaultRowHeight="14.5" x14ac:dyDescent="0.35"/>
  <cols>
    <col min="1" max="1" width="16.6328125" bestFit="1" customWidth="1"/>
    <col min="2" max="2" width="15" bestFit="1" customWidth="1"/>
  </cols>
  <sheetData>
    <row r="3" spans="1:2" x14ac:dyDescent="0.35">
      <c r="A3" s="3" t="s">
        <v>159</v>
      </c>
      <c r="B3" t="s">
        <v>163</v>
      </c>
    </row>
    <row r="4" spans="1:2" x14ac:dyDescent="0.35">
      <c r="A4" s="4" t="s">
        <v>170</v>
      </c>
      <c r="B4" s="6">
        <v>109405.205</v>
      </c>
    </row>
    <row r="5" spans="1:2" x14ac:dyDescent="0.35">
      <c r="A5" s="4" t="s">
        <v>171</v>
      </c>
      <c r="B5" s="6">
        <v>93109.712499999994</v>
      </c>
    </row>
    <row r="6" spans="1:2" x14ac:dyDescent="0.35">
      <c r="A6" s="4" t="s">
        <v>172</v>
      </c>
      <c r="B6" s="6">
        <v>88533.787499999991</v>
      </c>
    </row>
    <row r="7" spans="1:2" x14ac:dyDescent="0.35">
      <c r="A7" s="4" t="s">
        <v>160</v>
      </c>
      <c r="B7" s="6">
        <v>96711.173333333325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9D1D0-3142-496D-9B61-07AD5191B200}">
  <dimension ref="A3:B10"/>
  <sheetViews>
    <sheetView workbookViewId="0">
      <selection activeCell="A6" sqref="A6"/>
    </sheetView>
  </sheetViews>
  <sheetFormatPr defaultRowHeight="14.5" x14ac:dyDescent="0.35"/>
  <cols>
    <col min="1" max="2" width="12.453125" bestFit="1" customWidth="1"/>
  </cols>
  <sheetData>
    <row r="3" spans="1:2" x14ac:dyDescent="0.35">
      <c r="A3" s="3" t="s">
        <v>159</v>
      </c>
      <c r="B3" t="s">
        <v>164</v>
      </c>
    </row>
    <row r="4" spans="1:2" x14ac:dyDescent="0.35">
      <c r="A4" s="4" t="s">
        <v>35</v>
      </c>
      <c r="B4" s="6">
        <v>1019641.2199999999</v>
      </c>
    </row>
    <row r="5" spans="1:2" x14ac:dyDescent="0.35">
      <c r="A5" s="4" t="s">
        <v>56</v>
      </c>
      <c r="B5" s="6">
        <v>458763.23</v>
      </c>
    </row>
    <row r="6" spans="1:2" x14ac:dyDescent="0.35">
      <c r="A6" s="4" t="s">
        <v>66</v>
      </c>
      <c r="B6" s="6">
        <v>451525.25</v>
      </c>
    </row>
    <row r="7" spans="1:2" x14ac:dyDescent="0.35">
      <c r="A7" s="4" t="s">
        <v>82</v>
      </c>
      <c r="B7" s="6">
        <v>391002.3</v>
      </c>
    </row>
    <row r="8" spans="1:2" x14ac:dyDescent="0.35">
      <c r="A8" s="4" t="s">
        <v>41</v>
      </c>
      <c r="B8" s="6">
        <v>320102.25</v>
      </c>
    </row>
    <row r="9" spans="1:2" x14ac:dyDescent="0.35">
      <c r="A9" s="4" t="s">
        <v>70</v>
      </c>
      <c r="B9" s="6">
        <v>260300.95</v>
      </c>
    </row>
    <row r="10" spans="1:2" x14ac:dyDescent="0.35">
      <c r="A10" s="4" t="s">
        <v>160</v>
      </c>
      <c r="B10" s="6">
        <v>2901335.1999999997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B3AF5-0EE4-4691-826B-C31C9F7CD4F2}">
  <dimension ref="A3:B10"/>
  <sheetViews>
    <sheetView workbookViewId="0">
      <selection activeCell="A9" sqref="A4:A9"/>
      <pivotSelection pane="bottomRight" showHeader="1" axis="axisRow" activeRow="8" previousRow="8" click="1" r:id="rId1">
        <pivotArea dataOnly="0" labelOnly="1" fieldPosition="0">
          <references count="1">
            <reference field="3" count="0"/>
          </references>
        </pivotArea>
      </pivotSelection>
    </sheetView>
  </sheetViews>
  <sheetFormatPr defaultRowHeight="14.5" x14ac:dyDescent="0.35"/>
  <cols>
    <col min="1" max="2" width="12.453125" bestFit="1" customWidth="1"/>
  </cols>
  <sheetData>
    <row r="3" spans="1:2" x14ac:dyDescent="0.35">
      <c r="A3" s="3" t="s">
        <v>159</v>
      </c>
      <c r="B3" t="s">
        <v>164</v>
      </c>
    </row>
    <row r="4" spans="1:2" x14ac:dyDescent="0.35">
      <c r="A4" s="4" t="s">
        <v>35</v>
      </c>
      <c r="B4" s="6">
        <v>1019641.2199999999</v>
      </c>
    </row>
    <row r="5" spans="1:2" x14ac:dyDescent="0.35">
      <c r="A5" s="4" t="s">
        <v>56</v>
      </c>
      <c r="B5" s="6">
        <v>458763.23</v>
      </c>
    </row>
    <row r="6" spans="1:2" x14ac:dyDescent="0.35">
      <c r="A6" s="4" t="s">
        <v>66</v>
      </c>
      <c r="B6" s="6">
        <v>451525.25</v>
      </c>
    </row>
    <row r="7" spans="1:2" x14ac:dyDescent="0.35">
      <c r="A7" s="4" t="s">
        <v>82</v>
      </c>
      <c r="B7" s="6">
        <v>391002.3</v>
      </c>
    </row>
    <row r="8" spans="1:2" x14ac:dyDescent="0.35">
      <c r="A8" s="4" t="s">
        <v>41</v>
      </c>
      <c r="B8" s="6">
        <v>320102.25</v>
      </c>
    </row>
    <row r="9" spans="1:2" x14ac:dyDescent="0.35">
      <c r="A9" s="4" t="s">
        <v>70</v>
      </c>
      <c r="B9" s="6">
        <v>260300.95</v>
      </c>
    </row>
    <row r="10" spans="1:2" x14ac:dyDescent="0.35">
      <c r="A10" s="4" t="s">
        <v>160</v>
      </c>
      <c r="B10" s="6">
        <v>2901335.1999999997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485E0-C1CA-4492-A652-4B7A81A7C336}">
  <dimension ref="A3:B27"/>
  <sheetViews>
    <sheetView topLeftCell="A3" zoomScale="94" zoomScaleNormal="94" workbookViewId="0">
      <selection activeCell="B4" sqref="B4"/>
    </sheetView>
  </sheetViews>
  <sheetFormatPr defaultRowHeight="14.5" x14ac:dyDescent="0.35"/>
  <cols>
    <col min="1" max="1" width="17.26953125" bestFit="1" customWidth="1"/>
    <col min="2" max="2" width="14.08984375" bestFit="1" customWidth="1"/>
  </cols>
  <sheetData>
    <row r="3" spans="1:2" x14ac:dyDescent="0.35">
      <c r="A3" s="3" t="s">
        <v>159</v>
      </c>
      <c r="B3" t="s">
        <v>168</v>
      </c>
    </row>
    <row r="4" spans="1:2" x14ac:dyDescent="0.35">
      <c r="A4" s="4" t="s">
        <v>34</v>
      </c>
      <c r="B4" s="10">
        <v>3</v>
      </c>
    </row>
    <row r="5" spans="1:2" x14ac:dyDescent="0.35">
      <c r="A5" s="4" t="s">
        <v>87</v>
      </c>
      <c r="B5" s="10">
        <v>2</v>
      </c>
    </row>
    <row r="6" spans="1:2" x14ac:dyDescent="0.35">
      <c r="A6" s="4" t="s">
        <v>78</v>
      </c>
      <c r="B6" s="10">
        <v>2</v>
      </c>
    </row>
    <row r="7" spans="1:2" x14ac:dyDescent="0.35">
      <c r="A7" s="4" t="s">
        <v>61</v>
      </c>
      <c r="B7" s="10">
        <v>2</v>
      </c>
    </row>
    <row r="8" spans="1:2" x14ac:dyDescent="0.35">
      <c r="A8" s="4" t="s">
        <v>74</v>
      </c>
      <c r="B8" s="10">
        <v>2</v>
      </c>
    </row>
    <row r="9" spans="1:2" x14ac:dyDescent="0.35">
      <c r="A9" s="4" t="s">
        <v>55</v>
      </c>
      <c r="B9" s="10">
        <v>2</v>
      </c>
    </row>
    <row r="10" spans="1:2" x14ac:dyDescent="0.35">
      <c r="A10" s="4" t="s">
        <v>99</v>
      </c>
      <c r="B10" s="10">
        <v>1</v>
      </c>
    </row>
    <row r="11" spans="1:2" x14ac:dyDescent="0.35">
      <c r="A11" s="4" t="s">
        <v>69</v>
      </c>
      <c r="B11" s="10">
        <v>1</v>
      </c>
    </row>
    <row r="12" spans="1:2" x14ac:dyDescent="0.35">
      <c r="A12" s="4" t="s">
        <v>91</v>
      </c>
      <c r="B12" s="10">
        <v>1</v>
      </c>
    </row>
    <row r="13" spans="1:2" x14ac:dyDescent="0.35">
      <c r="A13" s="4" t="s">
        <v>107</v>
      </c>
      <c r="B13" s="10">
        <v>1</v>
      </c>
    </row>
    <row r="14" spans="1:2" x14ac:dyDescent="0.35">
      <c r="A14" s="4" t="s">
        <v>153</v>
      </c>
      <c r="B14" s="10">
        <v>1</v>
      </c>
    </row>
    <row r="15" spans="1:2" x14ac:dyDescent="0.35">
      <c r="A15" s="4" t="s">
        <v>143</v>
      </c>
      <c r="B15" s="10">
        <v>1</v>
      </c>
    </row>
    <row r="16" spans="1:2" x14ac:dyDescent="0.35">
      <c r="A16" s="4" t="s">
        <v>150</v>
      </c>
      <c r="B16" s="10">
        <v>1</v>
      </c>
    </row>
    <row r="17" spans="1:2" x14ac:dyDescent="0.35">
      <c r="A17" s="4" t="s">
        <v>40</v>
      </c>
      <c r="B17" s="10">
        <v>1</v>
      </c>
    </row>
    <row r="18" spans="1:2" x14ac:dyDescent="0.35">
      <c r="A18" s="4" t="s">
        <v>139</v>
      </c>
      <c r="B18" s="10">
        <v>1</v>
      </c>
    </row>
    <row r="19" spans="1:2" x14ac:dyDescent="0.35">
      <c r="A19" s="4" t="s">
        <v>95</v>
      </c>
      <c r="B19" s="10">
        <v>1</v>
      </c>
    </row>
    <row r="20" spans="1:2" x14ac:dyDescent="0.35">
      <c r="A20" s="4" t="s">
        <v>117</v>
      </c>
      <c r="B20" s="10">
        <v>1</v>
      </c>
    </row>
    <row r="21" spans="1:2" x14ac:dyDescent="0.35">
      <c r="A21" s="4" t="s">
        <v>127</v>
      </c>
      <c r="B21" s="10">
        <v>1</v>
      </c>
    </row>
    <row r="22" spans="1:2" x14ac:dyDescent="0.35">
      <c r="A22" s="4" t="s">
        <v>81</v>
      </c>
      <c r="B22" s="10">
        <v>1</v>
      </c>
    </row>
    <row r="23" spans="1:2" x14ac:dyDescent="0.35">
      <c r="A23" s="4" t="s">
        <v>135</v>
      </c>
      <c r="B23" s="10">
        <v>1</v>
      </c>
    </row>
    <row r="24" spans="1:2" x14ac:dyDescent="0.35">
      <c r="A24" s="4" t="s">
        <v>121</v>
      </c>
      <c r="B24" s="10">
        <v>1</v>
      </c>
    </row>
    <row r="25" spans="1:2" x14ac:dyDescent="0.35">
      <c r="A25" s="4" t="s">
        <v>157</v>
      </c>
      <c r="B25" s="10">
        <v>1</v>
      </c>
    </row>
    <row r="26" spans="1:2" x14ac:dyDescent="0.35">
      <c r="A26" s="4" t="s">
        <v>103</v>
      </c>
      <c r="B26" s="10">
        <v>1</v>
      </c>
    </row>
    <row r="27" spans="1:2" x14ac:dyDescent="0.35">
      <c r="A27" s="4" t="s">
        <v>160</v>
      </c>
      <c r="B27" s="10">
        <v>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9030F-8F48-4AF6-9362-0C304A3A0E3E}">
  <dimension ref="A3:B15"/>
  <sheetViews>
    <sheetView workbookViewId="0">
      <selection activeCell="B6" sqref="B6"/>
    </sheetView>
  </sheetViews>
  <sheetFormatPr defaultRowHeight="14.5" x14ac:dyDescent="0.35"/>
  <cols>
    <col min="1" max="1" width="12.453125" bestFit="1" customWidth="1"/>
    <col min="2" max="2" width="13.90625" bestFit="1" customWidth="1"/>
    <col min="3" max="3" width="12.1796875" bestFit="1" customWidth="1"/>
  </cols>
  <sheetData>
    <row r="3" spans="1:2" x14ac:dyDescent="0.35">
      <c r="A3" s="3" t="s">
        <v>159</v>
      </c>
      <c r="B3" t="s">
        <v>168</v>
      </c>
    </row>
    <row r="4" spans="1:2" x14ac:dyDescent="0.35">
      <c r="A4" s="4">
        <v>2012</v>
      </c>
      <c r="B4" s="10">
        <v>2</v>
      </c>
    </row>
    <row r="5" spans="1:2" x14ac:dyDescent="0.35">
      <c r="A5" s="4">
        <v>2013</v>
      </c>
      <c r="B5" s="10">
        <v>3</v>
      </c>
    </row>
    <row r="6" spans="1:2" x14ac:dyDescent="0.35">
      <c r="A6" s="4">
        <v>2014</v>
      </c>
      <c r="B6" s="10">
        <v>3</v>
      </c>
    </row>
    <row r="7" spans="1:2" x14ac:dyDescent="0.35">
      <c r="A7" s="4">
        <v>2015</v>
      </c>
      <c r="B7" s="10">
        <v>3</v>
      </c>
    </row>
    <row r="8" spans="1:2" x14ac:dyDescent="0.35">
      <c r="A8" s="4">
        <v>2016</v>
      </c>
      <c r="B8" s="10">
        <v>4</v>
      </c>
    </row>
    <row r="9" spans="1:2" x14ac:dyDescent="0.35">
      <c r="A9" s="4">
        <v>2017</v>
      </c>
      <c r="B9" s="10">
        <v>3</v>
      </c>
    </row>
    <row r="10" spans="1:2" x14ac:dyDescent="0.35">
      <c r="A10" s="4">
        <v>2018</v>
      </c>
      <c r="B10" s="10">
        <v>4</v>
      </c>
    </row>
    <row r="11" spans="1:2" x14ac:dyDescent="0.35">
      <c r="A11" s="4">
        <v>2019</v>
      </c>
      <c r="B11" s="10">
        <v>4</v>
      </c>
    </row>
    <row r="12" spans="1:2" x14ac:dyDescent="0.35">
      <c r="A12" s="4">
        <v>2020</v>
      </c>
      <c r="B12" s="10">
        <v>2</v>
      </c>
    </row>
    <row r="13" spans="1:2" x14ac:dyDescent="0.35">
      <c r="A13" s="4">
        <v>2021</v>
      </c>
      <c r="B13" s="10">
        <v>1</v>
      </c>
    </row>
    <row r="14" spans="1:2" x14ac:dyDescent="0.35">
      <c r="A14" s="4">
        <v>2022</v>
      </c>
      <c r="B14" s="10">
        <v>1</v>
      </c>
    </row>
    <row r="15" spans="1:2" x14ac:dyDescent="0.35">
      <c r="A15" s="4" t="s">
        <v>160</v>
      </c>
      <c r="B15" s="10">
        <v>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03D5E-F227-45D5-84AA-054314996D12}">
  <dimension ref="A3:B10"/>
  <sheetViews>
    <sheetView topLeftCell="A2" workbookViewId="0">
      <selection activeCell="B6" sqref="B6"/>
    </sheetView>
  </sheetViews>
  <sheetFormatPr defaultRowHeight="14.5" x14ac:dyDescent="0.35"/>
  <cols>
    <col min="1" max="1" width="12.453125" bestFit="1" customWidth="1"/>
    <col min="2" max="2" width="23.90625" bestFit="1" customWidth="1"/>
    <col min="3" max="3" width="19.36328125" bestFit="1" customWidth="1"/>
  </cols>
  <sheetData>
    <row r="3" spans="1:2" x14ac:dyDescent="0.35">
      <c r="A3" s="3" t="s">
        <v>159</v>
      </c>
      <c r="B3" t="s">
        <v>161</v>
      </c>
    </row>
    <row r="4" spans="1:2" x14ac:dyDescent="0.35">
      <c r="A4" s="4" t="s">
        <v>66</v>
      </c>
      <c r="B4" s="10">
        <v>5.34</v>
      </c>
    </row>
    <row r="5" spans="1:2" x14ac:dyDescent="0.35">
      <c r="A5" s="4" t="s">
        <v>82</v>
      </c>
      <c r="B5" s="10">
        <v>7.1199999999999992</v>
      </c>
    </row>
    <row r="6" spans="1:2" x14ac:dyDescent="0.35">
      <c r="A6" s="4" t="s">
        <v>35</v>
      </c>
      <c r="B6" s="10">
        <v>7.5333333333333332</v>
      </c>
    </row>
    <row r="7" spans="1:2" x14ac:dyDescent="0.35">
      <c r="A7" s="4" t="s">
        <v>41</v>
      </c>
      <c r="B7" s="10">
        <v>8.75</v>
      </c>
    </row>
    <row r="8" spans="1:2" x14ac:dyDescent="0.35">
      <c r="A8" s="4" t="s">
        <v>56</v>
      </c>
      <c r="B8" s="10">
        <v>10.559999999999999</v>
      </c>
    </row>
    <row r="9" spans="1:2" x14ac:dyDescent="0.35">
      <c r="A9" s="4" t="s">
        <v>70</v>
      </c>
      <c r="B9" s="10">
        <v>13</v>
      </c>
    </row>
    <row r="10" spans="1:2" x14ac:dyDescent="0.35">
      <c r="A10" s="4" t="s">
        <v>160</v>
      </c>
      <c r="B10" s="10">
        <v>8.1300000000000008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AEBE3-5139-45FC-9A99-8EBD41455A81}">
  <dimension ref="A3:F34"/>
  <sheetViews>
    <sheetView topLeftCell="A3" workbookViewId="0">
      <selection activeCell="E17" sqref="E17"/>
    </sheetView>
  </sheetViews>
  <sheetFormatPr defaultRowHeight="14.5" x14ac:dyDescent="0.35"/>
  <cols>
    <col min="1" max="1" width="12.453125" bestFit="1" customWidth="1"/>
    <col min="2" max="2" width="13.90625" bestFit="1" customWidth="1"/>
    <col min="3" max="3" width="12.1796875" bestFit="1" customWidth="1"/>
    <col min="5" max="6" width="12.453125" bestFit="1" customWidth="1"/>
    <col min="7" max="7" width="12.1796875" bestFit="1" customWidth="1"/>
  </cols>
  <sheetData>
    <row r="3" spans="1:6" x14ac:dyDescent="0.35">
      <c r="A3" s="3" t="s">
        <v>159</v>
      </c>
      <c r="B3" t="s">
        <v>168</v>
      </c>
    </row>
    <row r="4" spans="1:6" x14ac:dyDescent="0.35">
      <c r="A4" s="4" t="s">
        <v>58</v>
      </c>
      <c r="B4" s="10">
        <v>3</v>
      </c>
    </row>
    <row r="5" spans="1:6" x14ac:dyDescent="0.35">
      <c r="A5" s="4" t="s">
        <v>84</v>
      </c>
      <c r="B5" s="10">
        <v>3</v>
      </c>
    </row>
    <row r="6" spans="1:6" x14ac:dyDescent="0.35">
      <c r="A6" s="4" t="s">
        <v>63</v>
      </c>
      <c r="B6" s="10">
        <v>3</v>
      </c>
    </row>
    <row r="7" spans="1:6" x14ac:dyDescent="0.35">
      <c r="A7" s="4" t="s">
        <v>88</v>
      </c>
      <c r="B7" s="10">
        <v>2</v>
      </c>
    </row>
    <row r="8" spans="1:6" x14ac:dyDescent="0.35">
      <c r="A8" s="4" t="s">
        <v>158</v>
      </c>
      <c r="B8" s="10">
        <v>1</v>
      </c>
    </row>
    <row r="9" spans="1:6" x14ac:dyDescent="0.35">
      <c r="A9" s="4" t="s">
        <v>144</v>
      </c>
      <c r="B9" s="10">
        <v>1</v>
      </c>
    </row>
    <row r="10" spans="1:6" x14ac:dyDescent="0.35">
      <c r="A10" s="4" t="s">
        <v>154</v>
      </c>
      <c r="B10" s="10">
        <v>1</v>
      </c>
      <c r="E10" s="3" t="s">
        <v>159</v>
      </c>
      <c r="F10" t="s">
        <v>164</v>
      </c>
    </row>
    <row r="11" spans="1:6" x14ac:dyDescent="0.35">
      <c r="A11" s="4" t="s">
        <v>136</v>
      </c>
      <c r="B11" s="10">
        <v>1</v>
      </c>
      <c r="E11" s="4" t="s">
        <v>63</v>
      </c>
      <c r="F11" s="6">
        <v>315211.81999999995</v>
      </c>
    </row>
    <row r="12" spans="1:6" x14ac:dyDescent="0.35">
      <c r="A12" s="4" t="s">
        <v>71</v>
      </c>
      <c r="B12" s="10">
        <v>1</v>
      </c>
      <c r="E12" s="4" t="s">
        <v>84</v>
      </c>
      <c r="F12" s="6">
        <v>289801.05</v>
      </c>
    </row>
    <row r="13" spans="1:6" x14ac:dyDescent="0.35">
      <c r="A13" s="4" t="s">
        <v>111</v>
      </c>
      <c r="B13" s="10">
        <v>1</v>
      </c>
      <c r="E13" s="4" t="s">
        <v>58</v>
      </c>
      <c r="F13" s="6">
        <v>265361.88</v>
      </c>
    </row>
    <row r="14" spans="1:6" x14ac:dyDescent="0.35">
      <c r="A14" s="4" t="s">
        <v>108</v>
      </c>
      <c r="B14" s="10">
        <v>1</v>
      </c>
      <c r="E14" s="4" t="s">
        <v>88</v>
      </c>
      <c r="F14" s="6">
        <v>212400.35</v>
      </c>
    </row>
    <row r="15" spans="1:6" x14ac:dyDescent="0.35">
      <c r="A15" s="4" t="s">
        <v>147</v>
      </c>
      <c r="B15" s="10">
        <v>1</v>
      </c>
      <c r="E15" s="4" t="s">
        <v>140</v>
      </c>
      <c r="F15" s="6">
        <v>134800.95000000001</v>
      </c>
    </row>
    <row r="16" spans="1:6" x14ac:dyDescent="0.35">
      <c r="A16" s="4" t="s">
        <v>96</v>
      </c>
      <c r="B16" s="10">
        <v>1</v>
      </c>
      <c r="E16" s="4" t="s">
        <v>124</v>
      </c>
      <c r="F16" s="6">
        <v>125700.85</v>
      </c>
    </row>
    <row r="17" spans="1:6" x14ac:dyDescent="0.35">
      <c r="A17" s="4" t="s">
        <v>75</v>
      </c>
      <c r="B17" s="10">
        <v>1</v>
      </c>
      <c r="E17" s="4" t="s">
        <v>71</v>
      </c>
      <c r="F17" s="6">
        <v>125500</v>
      </c>
    </row>
    <row r="18" spans="1:6" x14ac:dyDescent="0.35">
      <c r="A18" s="4" t="s">
        <v>118</v>
      </c>
      <c r="B18" s="10">
        <v>1</v>
      </c>
      <c r="E18" s="4" t="s">
        <v>108</v>
      </c>
      <c r="F18" s="6">
        <v>121300.1</v>
      </c>
    </row>
    <row r="19" spans="1:6" x14ac:dyDescent="0.35">
      <c r="A19" s="4" t="s">
        <v>37</v>
      </c>
      <c r="B19" s="10">
        <v>1</v>
      </c>
      <c r="E19" s="4" t="s">
        <v>37</v>
      </c>
      <c r="F19" s="6">
        <v>115800</v>
      </c>
    </row>
    <row r="20" spans="1:6" x14ac:dyDescent="0.35">
      <c r="A20" s="4" t="s">
        <v>100</v>
      </c>
      <c r="B20" s="10">
        <v>1</v>
      </c>
      <c r="E20" s="4" t="s">
        <v>75</v>
      </c>
      <c r="F20" s="6">
        <v>115450.5</v>
      </c>
    </row>
    <row r="21" spans="1:6" x14ac:dyDescent="0.35">
      <c r="A21" s="4" t="s">
        <v>140</v>
      </c>
      <c r="B21" s="10">
        <v>1</v>
      </c>
      <c r="E21" s="4" t="s">
        <v>114</v>
      </c>
      <c r="F21" s="6">
        <v>109500.25</v>
      </c>
    </row>
    <row r="22" spans="1:6" x14ac:dyDescent="0.35">
      <c r="A22" s="4" t="s">
        <v>124</v>
      </c>
      <c r="B22" s="10">
        <v>1</v>
      </c>
      <c r="E22" s="4" t="s">
        <v>130</v>
      </c>
      <c r="F22" s="6">
        <v>104500.7</v>
      </c>
    </row>
    <row r="23" spans="1:6" x14ac:dyDescent="0.35">
      <c r="A23" s="4" t="s">
        <v>130</v>
      </c>
      <c r="B23" s="10">
        <v>1</v>
      </c>
      <c r="E23" s="4" t="s">
        <v>111</v>
      </c>
      <c r="F23" s="6">
        <v>99800.75</v>
      </c>
    </row>
    <row r="24" spans="1:6" x14ac:dyDescent="0.35">
      <c r="A24" s="4" t="s">
        <v>43</v>
      </c>
      <c r="B24" s="10">
        <v>1</v>
      </c>
      <c r="E24" s="4" t="s">
        <v>158</v>
      </c>
      <c r="F24" s="6">
        <v>99500.75</v>
      </c>
    </row>
    <row r="25" spans="1:6" x14ac:dyDescent="0.35">
      <c r="A25" s="4" t="s">
        <v>104</v>
      </c>
      <c r="B25" s="10">
        <v>1</v>
      </c>
      <c r="E25" s="4" t="s">
        <v>147</v>
      </c>
      <c r="F25" s="6">
        <v>93600.6</v>
      </c>
    </row>
    <row r="26" spans="1:6" x14ac:dyDescent="0.35">
      <c r="A26" s="4" t="s">
        <v>114</v>
      </c>
      <c r="B26" s="10">
        <v>1</v>
      </c>
      <c r="E26" s="4" t="s">
        <v>96</v>
      </c>
      <c r="F26" s="6">
        <v>89400.8</v>
      </c>
    </row>
    <row r="27" spans="1:6" x14ac:dyDescent="0.35">
      <c r="A27" s="4" t="s">
        <v>160</v>
      </c>
      <c r="B27" s="10">
        <v>30</v>
      </c>
      <c r="E27" s="4" t="s">
        <v>43</v>
      </c>
      <c r="F27" s="6">
        <v>81000.55</v>
      </c>
    </row>
    <row r="28" spans="1:6" x14ac:dyDescent="0.35">
      <c r="E28" s="4" t="s">
        <v>154</v>
      </c>
      <c r="F28" s="6">
        <v>74500.350000000006</v>
      </c>
    </row>
    <row r="29" spans="1:6" x14ac:dyDescent="0.35">
      <c r="E29" s="4" t="s">
        <v>118</v>
      </c>
      <c r="F29" s="6">
        <v>71500.55</v>
      </c>
    </row>
    <row r="30" spans="1:6" x14ac:dyDescent="0.35">
      <c r="E30" s="4" t="s">
        <v>136</v>
      </c>
      <c r="F30" s="6">
        <v>69800.25</v>
      </c>
    </row>
    <row r="31" spans="1:6" x14ac:dyDescent="0.35">
      <c r="E31" s="4" t="s">
        <v>100</v>
      </c>
      <c r="F31" s="6">
        <v>68500.899999999994</v>
      </c>
    </row>
    <row r="32" spans="1:6" x14ac:dyDescent="0.35">
      <c r="E32" s="4" t="s">
        <v>104</v>
      </c>
      <c r="F32" s="6">
        <v>60200.45</v>
      </c>
    </row>
    <row r="33" spans="5:6" x14ac:dyDescent="0.35">
      <c r="E33" s="4" t="s">
        <v>144</v>
      </c>
      <c r="F33" s="6">
        <v>58200.800000000003</v>
      </c>
    </row>
    <row r="34" spans="5:6" x14ac:dyDescent="0.35">
      <c r="E34" s="4" t="s">
        <v>160</v>
      </c>
      <c r="F34" s="6">
        <v>2901335.1999999997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0B40D-D7DB-4997-B3B1-9BF1B3F08654}">
  <dimension ref="A3:C10"/>
  <sheetViews>
    <sheetView workbookViewId="0">
      <selection activeCell="B7" sqref="B7"/>
    </sheetView>
  </sheetViews>
  <sheetFormatPr defaultRowHeight="14.5" x14ac:dyDescent="0.35"/>
  <cols>
    <col min="1" max="2" width="12.453125" bestFit="1" customWidth="1"/>
    <col min="3" max="3" width="15" bestFit="1" customWidth="1"/>
  </cols>
  <sheetData>
    <row r="3" spans="1:3" x14ac:dyDescent="0.35">
      <c r="A3" s="3" t="s">
        <v>159</v>
      </c>
      <c r="B3" t="s">
        <v>164</v>
      </c>
      <c r="C3" t="s">
        <v>163</v>
      </c>
    </row>
    <row r="4" spans="1:3" x14ac:dyDescent="0.35">
      <c r="A4" s="4" t="s">
        <v>56</v>
      </c>
      <c r="B4" s="6">
        <v>458763.23</v>
      </c>
      <c r="C4" s="6">
        <v>91752.645999999993</v>
      </c>
    </row>
    <row r="5" spans="1:3" x14ac:dyDescent="0.35">
      <c r="A5" s="4" t="s">
        <v>41</v>
      </c>
      <c r="B5" s="6">
        <v>320102.25</v>
      </c>
      <c r="C5" s="6">
        <v>80025.5625</v>
      </c>
    </row>
    <row r="6" spans="1:3" x14ac:dyDescent="0.35">
      <c r="A6" s="4" t="s">
        <v>35</v>
      </c>
      <c r="B6" s="6">
        <v>1019641.2199999999</v>
      </c>
      <c r="C6" s="6">
        <v>113293.46888888888</v>
      </c>
    </row>
    <row r="7" spans="1:3" x14ac:dyDescent="0.35">
      <c r="A7" s="4" t="s">
        <v>82</v>
      </c>
      <c r="B7" s="6">
        <v>391002.3</v>
      </c>
      <c r="C7" s="6">
        <v>78200.459999999992</v>
      </c>
    </row>
    <row r="8" spans="1:3" x14ac:dyDescent="0.35">
      <c r="A8" s="4" t="s">
        <v>70</v>
      </c>
      <c r="B8" s="6">
        <v>260300.95</v>
      </c>
      <c r="C8" s="6">
        <v>130150.47500000001</v>
      </c>
    </row>
    <row r="9" spans="1:3" x14ac:dyDescent="0.35">
      <c r="A9" s="4" t="s">
        <v>66</v>
      </c>
      <c r="B9" s="6">
        <v>451525.25</v>
      </c>
      <c r="C9" s="6">
        <v>90305.05</v>
      </c>
    </row>
    <row r="10" spans="1:3" x14ac:dyDescent="0.35">
      <c r="A10" s="4" t="s">
        <v>160</v>
      </c>
      <c r="B10" s="6">
        <v>2901335.2</v>
      </c>
      <c r="C10" s="6">
        <v>96711.17333333334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9DEF8-CC66-41ED-8E49-04947605C4D8}">
  <dimension ref="A1:S31"/>
  <sheetViews>
    <sheetView topLeftCell="D4" workbookViewId="0">
      <selection activeCell="P11" sqref="P11"/>
    </sheetView>
  </sheetViews>
  <sheetFormatPr defaultRowHeight="14.5" x14ac:dyDescent="0.35"/>
  <cols>
    <col min="1" max="1" width="8.6328125" bestFit="1" customWidth="1"/>
    <col min="2" max="2" width="15.08984375" bestFit="1" customWidth="1"/>
    <col min="3" max="3" width="17.26953125" bestFit="1" customWidth="1"/>
    <col min="4" max="4" width="13.08984375" bestFit="1" customWidth="1"/>
    <col min="5" max="5" width="10.453125" bestFit="1" customWidth="1"/>
    <col min="6" max="6" width="9.81640625" bestFit="1" customWidth="1"/>
    <col min="7" max="7" width="16" customWidth="1"/>
    <col min="8" max="8" width="13.26953125" customWidth="1"/>
    <col min="9" max="9" width="17.08984375" bestFit="1" customWidth="1"/>
    <col min="10" max="10" width="16.6328125" hidden="1" customWidth="1"/>
    <col min="11" max="11" width="9.7265625" bestFit="1" customWidth="1"/>
    <col min="12" max="12" width="12.1796875" bestFit="1" customWidth="1"/>
    <col min="13" max="13" width="10.6328125" customWidth="1"/>
    <col min="14" max="14" width="15.36328125" style="2" bestFit="1" customWidth="1"/>
    <col min="15" max="15" width="12.26953125" bestFit="1" customWidth="1"/>
    <col min="16" max="16" width="12.26953125" style="1" bestFit="1" customWidth="1"/>
    <col min="17" max="17" width="12.26953125" style="6" bestFit="1" customWidth="1"/>
    <col min="18" max="18" width="12.1796875" style="6" bestFit="1" customWidth="1"/>
    <col min="19" max="19" width="14.36328125" style="2" bestFit="1" customWidth="1"/>
    <col min="20" max="21" width="12.26953125" bestFit="1" customWidth="1"/>
  </cols>
  <sheetData>
    <row r="1" spans="1:19" x14ac:dyDescent="0.35">
      <c r="A1" t="s">
        <v>44</v>
      </c>
      <c r="B1" t="s">
        <v>45</v>
      </c>
      <c r="C1" t="s">
        <v>46</v>
      </c>
      <c r="D1" t="s">
        <v>47</v>
      </c>
      <c r="E1" t="s">
        <v>48</v>
      </c>
      <c r="F1" t="s">
        <v>49</v>
      </c>
      <c r="G1" t="s">
        <v>166</v>
      </c>
      <c r="H1" t="s">
        <v>167</v>
      </c>
      <c r="I1" t="s">
        <v>50</v>
      </c>
      <c r="J1" t="s">
        <v>169</v>
      </c>
      <c r="K1" t="s">
        <v>51</v>
      </c>
      <c r="L1" t="s">
        <v>52</v>
      </c>
      <c r="M1" t="s">
        <v>173</v>
      </c>
      <c r="N1" s="2" t="s">
        <v>174</v>
      </c>
      <c r="P1"/>
      <c r="Q1"/>
      <c r="R1"/>
      <c r="S1"/>
    </row>
    <row r="2" spans="1:19" x14ac:dyDescent="0.35">
      <c r="A2" t="s">
        <v>53</v>
      </c>
      <c r="B2" t="s">
        <v>54</v>
      </c>
      <c r="C2" t="s">
        <v>55</v>
      </c>
      <c r="D2" t="s">
        <v>56</v>
      </c>
      <c r="E2" s="1">
        <v>40953</v>
      </c>
      <c r="F2">
        <v>78960.73</v>
      </c>
      <c r="G2">
        <f t="shared" ref="G2:G31" si="0">AVERAGEIF(D:D,D2,F:F)</f>
        <v>91752.645999999993</v>
      </c>
      <c r="H2" t="str">
        <f>IF(Page001__2_1[[#This Row],[Salary]]&gt;Page001__2_1[[#This Row],[Avg Dept Salary]],"High Class","Below/Equal")</f>
        <v>Below/Equal</v>
      </c>
      <c r="I2">
        <v>13.1</v>
      </c>
      <c r="J2" t="str">
        <f>IF(Page001__2_1[[#This Row],[YearsExperience]]&gt;10,"High Experience",IF(Page001__2_1[[#This Row],[YearsExperience]]&gt;5,"Medium Experience","Low Experience"))</f>
        <v>High Experience</v>
      </c>
      <c r="K2" t="s">
        <v>57</v>
      </c>
      <c r="L2" t="s">
        <v>58</v>
      </c>
      <c r="M2">
        <f t="shared" ref="M2:M31" si="1">YEAR(E2)</f>
        <v>2012</v>
      </c>
      <c r="N2" s="2">
        <v>0</v>
      </c>
      <c r="P2"/>
      <c r="Q2"/>
      <c r="R2"/>
      <c r="S2"/>
    </row>
    <row r="3" spans="1:19" x14ac:dyDescent="0.35">
      <c r="A3" t="s">
        <v>59</v>
      </c>
      <c r="B3" t="s">
        <v>60</v>
      </c>
      <c r="C3" t="s">
        <v>61</v>
      </c>
      <c r="D3" t="s">
        <v>35</v>
      </c>
      <c r="E3" s="1">
        <v>43380</v>
      </c>
      <c r="F3">
        <v>105887.97</v>
      </c>
      <c r="G3">
        <f t="shared" si="0"/>
        <v>113293.46888888888</v>
      </c>
      <c r="H3" t="str">
        <f>IF(Page001__2_1[[#This Row],[Salary]]&gt;Page001__2_1[[#This Row],[Avg Dept Salary]],"High Class","Below/Equal")</f>
        <v>Below/Equal</v>
      </c>
      <c r="I3">
        <v>14.8</v>
      </c>
      <c r="J3" t="str">
        <f>IF(Page001__2_1[[#This Row],[YearsExperience]]&gt;10,"High Experience",IF(Page001__2_1[[#This Row],[YearsExperience]]&gt;5,"Medium Experience","Low Experience"))</f>
        <v>High Experience</v>
      </c>
      <c r="K3" t="s">
        <v>62</v>
      </c>
      <c r="L3" t="s">
        <v>63</v>
      </c>
      <c r="M3">
        <f t="shared" si="1"/>
        <v>2018</v>
      </c>
      <c r="N3" s="2">
        <v>0</v>
      </c>
      <c r="P3"/>
      <c r="Q3"/>
      <c r="R3"/>
      <c r="S3"/>
    </row>
    <row r="4" spans="1:19" x14ac:dyDescent="0.35">
      <c r="A4" t="s">
        <v>64</v>
      </c>
      <c r="B4" t="s">
        <v>65</v>
      </c>
      <c r="C4" t="s">
        <v>34</v>
      </c>
      <c r="D4" t="s">
        <v>66</v>
      </c>
      <c r="E4" s="1">
        <v>43762</v>
      </c>
      <c r="F4">
        <v>97023.2</v>
      </c>
      <c r="G4">
        <f t="shared" si="0"/>
        <v>90305.05</v>
      </c>
      <c r="H4" t="str">
        <f>IF(Page001__2_1[[#This Row],[Salary]]&gt;Page001__2_1[[#This Row],[Avg Dept Salary]],"High Class","Below/Equal")</f>
        <v>High Class</v>
      </c>
      <c r="I4">
        <v>1.3</v>
      </c>
      <c r="J4" t="str">
        <f>IF(Page001__2_1[[#This Row],[YearsExperience]]&gt;10,"High Experience",IF(Page001__2_1[[#This Row],[YearsExperience]]&gt;5,"Medium Experience","Low Experience"))</f>
        <v>Low Experience</v>
      </c>
      <c r="K4" t="s">
        <v>57</v>
      </c>
      <c r="L4" t="s">
        <v>63</v>
      </c>
      <c r="M4">
        <f t="shared" si="1"/>
        <v>2019</v>
      </c>
      <c r="N4" s="2">
        <v>1</v>
      </c>
      <c r="P4"/>
      <c r="Q4"/>
      <c r="R4"/>
      <c r="S4"/>
    </row>
    <row r="5" spans="1:19" x14ac:dyDescent="0.35">
      <c r="A5" t="s">
        <v>67</v>
      </c>
      <c r="B5" t="s">
        <v>68</v>
      </c>
      <c r="C5" t="s">
        <v>69</v>
      </c>
      <c r="D5" t="s">
        <v>70</v>
      </c>
      <c r="E5" s="1">
        <v>42522</v>
      </c>
      <c r="F5">
        <v>125500</v>
      </c>
      <c r="G5">
        <f t="shared" si="0"/>
        <v>130150.47500000001</v>
      </c>
      <c r="H5" t="str">
        <f>IF(Page001__2_1[[#This Row],[Salary]]&gt;Page001__2_1[[#This Row],[Avg Dept Salary]],"High Class","Below/Equal")</f>
        <v>Below/Equal</v>
      </c>
      <c r="I5">
        <v>11.4</v>
      </c>
      <c r="J5" t="str">
        <f>IF(Page001__2_1[[#This Row],[YearsExperience]]&gt;10,"High Experience",IF(Page001__2_1[[#This Row],[YearsExperience]]&gt;5,"Medium Experience","Low Experience"))</f>
        <v>High Experience</v>
      </c>
      <c r="K5" t="s">
        <v>42</v>
      </c>
      <c r="L5" t="s">
        <v>71</v>
      </c>
      <c r="M5">
        <f t="shared" si="1"/>
        <v>2016</v>
      </c>
      <c r="N5" s="2">
        <v>0</v>
      </c>
      <c r="P5"/>
      <c r="Q5"/>
      <c r="R5"/>
      <c r="S5"/>
    </row>
    <row r="6" spans="1:19" x14ac:dyDescent="0.35">
      <c r="A6" t="s">
        <v>72</v>
      </c>
      <c r="B6" t="s">
        <v>73</v>
      </c>
      <c r="C6" t="s">
        <v>74</v>
      </c>
      <c r="D6" t="s">
        <v>35</v>
      </c>
      <c r="E6" s="1">
        <v>43905</v>
      </c>
      <c r="F6">
        <v>115450.5</v>
      </c>
      <c r="G6">
        <f t="shared" si="0"/>
        <v>113293.46888888888</v>
      </c>
      <c r="H6" t="str">
        <f>IF(Page001__2_1[[#This Row],[Salary]]&gt;Page001__2_1[[#This Row],[Avg Dept Salary]],"High Class","Below/Equal")</f>
        <v>High Class</v>
      </c>
      <c r="I6">
        <v>4.5</v>
      </c>
      <c r="J6" t="str">
        <f>IF(Page001__2_1[[#This Row],[YearsExperience]]&gt;10,"High Experience",IF(Page001__2_1[[#This Row],[YearsExperience]]&gt;5,"Medium Experience","Low Experience"))</f>
        <v>Low Experience</v>
      </c>
      <c r="K6" t="s">
        <v>36</v>
      </c>
      <c r="L6" t="s">
        <v>75</v>
      </c>
      <c r="M6">
        <f t="shared" si="1"/>
        <v>2020</v>
      </c>
      <c r="N6" s="2">
        <v>0</v>
      </c>
      <c r="P6"/>
      <c r="Q6"/>
      <c r="R6"/>
      <c r="S6"/>
    </row>
    <row r="7" spans="1:19" x14ac:dyDescent="0.35">
      <c r="A7" t="s">
        <v>76</v>
      </c>
      <c r="B7" t="s">
        <v>77</v>
      </c>
      <c r="C7" t="s">
        <v>78</v>
      </c>
      <c r="D7" t="s">
        <v>56</v>
      </c>
      <c r="E7" s="1">
        <v>42268</v>
      </c>
      <c r="F7">
        <v>98400.75</v>
      </c>
      <c r="G7">
        <f t="shared" si="0"/>
        <v>91752.645999999993</v>
      </c>
      <c r="H7" t="str">
        <f>IF(Page001__2_1[[#This Row],[Salary]]&gt;Page001__2_1[[#This Row],[Avg Dept Salary]],"High Class","Below/Equal")</f>
        <v>High Class</v>
      </c>
      <c r="I7">
        <v>9.6999999999999993</v>
      </c>
      <c r="J7" t="str">
        <f>IF(Page001__2_1[[#This Row],[YearsExperience]]&gt;10,"High Experience",IF(Page001__2_1[[#This Row],[YearsExperience]]&gt;5,"Medium Experience","Low Experience"))</f>
        <v>Medium Experience</v>
      </c>
      <c r="K7" t="s">
        <v>57</v>
      </c>
      <c r="L7" t="s">
        <v>58</v>
      </c>
      <c r="M7">
        <f t="shared" si="1"/>
        <v>2015</v>
      </c>
      <c r="N7" s="2">
        <v>0</v>
      </c>
      <c r="P7"/>
      <c r="Q7"/>
      <c r="R7"/>
      <c r="S7"/>
    </row>
    <row r="8" spans="1:19" x14ac:dyDescent="0.35">
      <c r="A8" t="s">
        <v>79</v>
      </c>
      <c r="B8" t="s">
        <v>80</v>
      </c>
      <c r="C8" t="s">
        <v>81</v>
      </c>
      <c r="D8" t="s">
        <v>82</v>
      </c>
      <c r="E8" s="1">
        <v>43080</v>
      </c>
      <c r="F8">
        <v>76500.2</v>
      </c>
      <c r="G8">
        <f t="shared" si="0"/>
        <v>78200.459999999992</v>
      </c>
      <c r="H8" t="str">
        <f>IF(Page001__2_1[[#This Row],[Salary]]&gt;Page001__2_1[[#This Row],[Avg Dept Salary]],"High Class","Below/Equal")</f>
        <v>Below/Equal</v>
      </c>
      <c r="I8">
        <v>6.1</v>
      </c>
      <c r="J8" t="str">
        <f>IF(Page001__2_1[[#This Row],[YearsExperience]]&gt;10,"High Experience",IF(Page001__2_1[[#This Row],[YearsExperience]]&gt;5,"Medium Experience","Low Experience"))</f>
        <v>Medium Experience</v>
      </c>
      <c r="K8" t="s">
        <v>83</v>
      </c>
      <c r="L8" t="s">
        <v>84</v>
      </c>
      <c r="M8">
        <f t="shared" si="1"/>
        <v>2017</v>
      </c>
      <c r="N8" s="2">
        <v>0</v>
      </c>
      <c r="P8"/>
      <c r="Q8"/>
      <c r="R8"/>
      <c r="S8"/>
    </row>
    <row r="9" spans="1:19" x14ac:dyDescent="0.35">
      <c r="A9" t="s">
        <v>85</v>
      </c>
      <c r="B9" t="s">
        <v>86</v>
      </c>
      <c r="C9" t="s">
        <v>87</v>
      </c>
      <c r="D9" t="s">
        <v>35</v>
      </c>
      <c r="E9" s="1">
        <v>41845</v>
      </c>
      <c r="F9">
        <v>134200</v>
      </c>
      <c r="G9">
        <f t="shared" si="0"/>
        <v>113293.46888888888</v>
      </c>
      <c r="H9" t="str">
        <f>IF(Page001__2_1[[#This Row],[Salary]]&gt;Page001__2_1[[#This Row],[Avg Dept Salary]],"High Class","Below/Equal")</f>
        <v>High Class</v>
      </c>
      <c r="I9">
        <v>12</v>
      </c>
      <c r="J9" t="str">
        <f>IF(Page001__2_1[[#This Row],[YearsExperience]]&gt;10,"High Experience",IF(Page001__2_1[[#This Row],[YearsExperience]]&gt;5,"Medium Experience","Low Experience"))</f>
        <v>High Experience</v>
      </c>
      <c r="K9" t="s">
        <v>42</v>
      </c>
      <c r="L9" t="s">
        <v>88</v>
      </c>
      <c r="M9">
        <f t="shared" si="1"/>
        <v>2014</v>
      </c>
      <c r="N9" s="2">
        <v>0</v>
      </c>
      <c r="P9"/>
      <c r="Q9"/>
      <c r="R9"/>
      <c r="S9"/>
    </row>
    <row r="10" spans="1:19" x14ac:dyDescent="0.35">
      <c r="A10" t="s">
        <v>89</v>
      </c>
      <c r="B10" t="s">
        <v>90</v>
      </c>
      <c r="C10" t="s">
        <v>91</v>
      </c>
      <c r="D10" t="s">
        <v>66</v>
      </c>
      <c r="E10" s="1">
        <v>43474</v>
      </c>
      <c r="F10">
        <v>112300.65</v>
      </c>
      <c r="G10">
        <f t="shared" si="0"/>
        <v>90305.05</v>
      </c>
      <c r="H10" t="str">
        <f>IF(Page001__2_1[[#This Row],[Salary]]&gt;Page001__2_1[[#This Row],[Avg Dept Salary]],"High Class","Below/Equal")</f>
        <v>High Class</v>
      </c>
      <c r="I10">
        <v>3.9</v>
      </c>
      <c r="J10" t="str">
        <f>IF(Page001__2_1[[#This Row],[YearsExperience]]&gt;10,"High Experience",IF(Page001__2_1[[#This Row],[YearsExperience]]&gt;5,"Medium Experience","Low Experience"))</f>
        <v>Low Experience</v>
      </c>
      <c r="K10" t="s">
        <v>92</v>
      </c>
      <c r="L10" t="s">
        <v>63</v>
      </c>
      <c r="M10">
        <f t="shared" si="1"/>
        <v>2019</v>
      </c>
      <c r="N10" s="2">
        <v>0</v>
      </c>
      <c r="P10"/>
      <c r="Q10"/>
      <c r="R10"/>
      <c r="S10"/>
    </row>
    <row r="11" spans="1:19" x14ac:dyDescent="0.35">
      <c r="A11" t="s">
        <v>93</v>
      </c>
      <c r="B11" t="s">
        <v>94</v>
      </c>
      <c r="C11" t="s">
        <v>95</v>
      </c>
      <c r="D11" t="s">
        <v>41</v>
      </c>
      <c r="E11" s="1">
        <v>41424</v>
      </c>
      <c r="F11">
        <v>89400.8</v>
      </c>
      <c r="G11">
        <f t="shared" si="0"/>
        <v>80025.5625</v>
      </c>
      <c r="H11" t="str">
        <f>IF(Page001__2_1[[#This Row],[Salary]]&gt;Page001__2_1[[#This Row],[Avg Dept Salary]],"High Class","Below/Equal")</f>
        <v>High Class</v>
      </c>
      <c r="I11">
        <v>14.2</v>
      </c>
      <c r="J11" t="str">
        <f>IF(Page001__2_1[[#This Row],[YearsExperience]]&gt;10,"High Experience",IF(Page001__2_1[[#This Row],[YearsExperience]]&gt;5,"Medium Experience","Low Experience"))</f>
        <v>High Experience</v>
      </c>
      <c r="K11" t="s">
        <v>57</v>
      </c>
      <c r="L11" t="s">
        <v>96</v>
      </c>
      <c r="M11">
        <f t="shared" si="1"/>
        <v>2013</v>
      </c>
      <c r="N11" s="2">
        <v>0</v>
      </c>
      <c r="P11" s="2">
        <f>SUM(N:N)</f>
        <v>3</v>
      </c>
      <c r="Q11"/>
      <c r="R11"/>
      <c r="S11"/>
    </row>
    <row r="12" spans="1:19" x14ac:dyDescent="0.35">
      <c r="A12" t="s">
        <v>97</v>
      </c>
      <c r="B12" t="s">
        <v>98</v>
      </c>
      <c r="C12" t="s">
        <v>99</v>
      </c>
      <c r="D12" t="s">
        <v>35</v>
      </c>
      <c r="E12" s="1">
        <v>43148</v>
      </c>
      <c r="F12">
        <v>68500.899999999994</v>
      </c>
      <c r="G12">
        <f t="shared" si="0"/>
        <v>113293.46888888888</v>
      </c>
      <c r="H12" t="str">
        <f>IF(Page001__2_1[[#This Row],[Salary]]&gt;Page001__2_1[[#This Row],[Avg Dept Salary]],"High Class","Below/Equal")</f>
        <v>Below/Equal</v>
      </c>
      <c r="I12">
        <v>5.7</v>
      </c>
      <c r="J12" t="str">
        <f>IF(Page001__2_1[[#This Row],[YearsExperience]]&gt;10,"High Experience",IF(Page001__2_1[[#This Row],[YearsExperience]]&gt;5,"Medium Experience","Low Experience"))</f>
        <v>Medium Experience</v>
      </c>
      <c r="K12" t="s">
        <v>42</v>
      </c>
      <c r="L12" t="s">
        <v>100</v>
      </c>
      <c r="M12">
        <f t="shared" si="1"/>
        <v>2018</v>
      </c>
      <c r="N12" s="2">
        <v>0</v>
      </c>
      <c r="O12" s="2"/>
      <c r="P12"/>
      <c r="Q12"/>
      <c r="R12"/>
      <c r="S12"/>
    </row>
    <row r="13" spans="1:19" x14ac:dyDescent="0.35">
      <c r="A13" t="s">
        <v>101</v>
      </c>
      <c r="B13" t="s">
        <v>102</v>
      </c>
      <c r="C13" t="s">
        <v>103</v>
      </c>
      <c r="D13" t="s">
        <v>82</v>
      </c>
      <c r="E13" s="1">
        <v>44367</v>
      </c>
      <c r="F13">
        <v>60200.45</v>
      </c>
      <c r="G13">
        <f t="shared" si="0"/>
        <v>78200.459999999992</v>
      </c>
      <c r="H13" t="str">
        <f>IF(Page001__2_1[[#This Row],[Salary]]&gt;Page001__2_1[[#This Row],[Avg Dept Salary]],"High Class","Below/Equal")</f>
        <v>Below/Equal</v>
      </c>
      <c r="I13">
        <v>2.1</v>
      </c>
      <c r="J13" t="str">
        <f>IF(Page001__2_1[[#This Row],[YearsExperience]]&gt;10,"High Experience",IF(Page001__2_1[[#This Row],[YearsExperience]]&gt;5,"Medium Experience","Low Experience"))</f>
        <v>Low Experience</v>
      </c>
      <c r="K13" t="s">
        <v>83</v>
      </c>
      <c r="L13" t="s">
        <v>104</v>
      </c>
      <c r="M13">
        <f t="shared" si="1"/>
        <v>2021</v>
      </c>
      <c r="N13" s="2">
        <v>1</v>
      </c>
      <c r="P13"/>
      <c r="Q13"/>
      <c r="R13"/>
      <c r="S13"/>
    </row>
    <row r="14" spans="1:19" x14ac:dyDescent="0.35">
      <c r="A14" t="s">
        <v>105</v>
      </c>
      <c r="B14" t="s">
        <v>106</v>
      </c>
      <c r="C14" t="s">
        <v>107</v>
      </c>
      <c r="D14" t="s">
        <v>35</v>
      </c>
      <c r="E14" s="1">
        <v>42587</v>
      </c>
      <c r="F14">
        <v>121300.1</v>
      </c>
      <c r="G14">
        <f t="shared" si="0"/>
        <v>113293.46888888888</v>
      </c>
      <c r="H14" t="str">
        <f>IF(Page001__2_1[[#This Row],[Salary]]&gt;Page001__2_1[[#This Row],[Avg Dept Salary]],"High Class","Below/Equal")</f>
        <v>High Class</v>
      </c>
      <c r="I14">
        <v>8.5</v>
      </c>
      <c r="J14" t="str">
        <f>IF(Page001__2_1[[#This Row],[YearsExperience]]&gt;10,"High Experience",IF(Page001__2_1[[#This Row],[YearsExperience]]&gt;5,"Medium Experience","Low Experience"))</f>
        <v>Medium Experience</v>
      </c>
      <c r="K14" t="s">
        <v>36</v>
      </c>
      <c r="L14" t="s">
        <v>108</v>
      </c>
      <c r="M14">
        <f t="shared" si="1"/>
        <v>2016</v>
      </c>
      <c r="N14" s="2">
        <v>0</v>
      </c>
      <c r="P14"/>
      <c r="Q14"/>
      <c r="R14"/>
      <c r="S14"/>
    </row>
    <row r="15" spans="1:19" x14ac:dyDescent="0.35">
      <c r="A15" t="s">
        <v>109</v>
      </c>
      <c r="B15" t="s">
        <v>110</v>
      </c>
      <c r="C15" t="s">
        <v>61</v>
      </c>
      <c r="D15" t="s">
        <v>56</v>
      </c>
      <c r="E15" s="1">
        <v>43027</v>
      </c>
      <c r="F15">
        <v>99800.75</v>
      </c>
      <c r="G15">
        <f t="shared" si="0"/>
        <v>91752.645999999993</v>
      </c>
      <c r="H15" t="str">
        <f>IF(Page001__2_1[[#This Row],[Salary]]&gt;Page001__2_1[[#This Row],[Avg Dept Salary]],"High Class","Below/Equal")</f>
        <v>High Class</v>
      </c>
      <c r="I15">
        <v>7.3</v>
      </c>
      <c r="J15" t="str">
        <f>IF(Page001__2_1[[#This Row],[YearsExperience]]&gt;10,"High Experience",IF(Page001__2_1[[#This Row],[YearsExperience]]&gt;5,"Medium Experience","Low Experience"))</f>
        <v>Medium Experience</v>
      </c>
      <c r="K15" t="s">
        <v>57</v>
      </c>
      <c r="L15" t="s">
        <v>111</v>
      </c>
      <c r="M15">
        <f t="shared" si="1"/>
        <v>2017</v>
      </c>
      <c r="N15" s="2">
        <v>0</v>
      </c>
      <c r="P15"/>
      <c r="Q15"/>
      <c r="R15"/>
      <c r="S15"/>
    </row>
    <row r="16" spans="1:19" x14ac:dyDescent="0.35">
      <c r="A16" t="s">
        <v>112</v>
      </c>
      <c r="B16" t="s">
        <v>113</v>
      </c>
      <c r="C16" t="s">
        <v>34</v>
      </c>
      <c r="D16" t="s">
        <v>66</v>
      </c>
      <c r="E16" s="1">
        <v>41968</v>
      </c>
      <c r="F16">
        <v>109500.25</v>
      </c>
      <c r="G16">
        <f t="shared" si="0"/>
        <v>90305.05</v>
      </c>
      <c r="H16" t="str">
        <f>IF(Page001__2_1[[#This Row],[Salary]]&gt;Page001__2_1[[#This Row],[Avg Dept Salary]],"High Class","Below/Equal")</f>
        <v>High Class</v>
      </c>
      <c r="I16">
        <v>10.199999999999999</v>
      </c>
      <c r="J16" t="str">
        <f>IF(Page001__2_1[[#This Row],[YearsExperience]]&gt;10,"High Experience",IF(Page001__2_1[[#This Row],[YearsExperience]]&gt;5,"Medium Experience","Low Experience"))</f>
        <v>High Experience</v>
      </c>
      <c r="K16" t="s">
        <v>62</v>
      </c>
      <c r="L16" t="s">
        <v>114</v>
      </c>
      <c r="M16">
        <f t="shared" si="1"/>
        <v>2014</v>
      </c>
      <c r="N16" s="2">
        <v>0</v>
      </c>
      <c r="P16"/>
      <c r="Q16"/>
      <c r="R16"/>
      <c r="S16"/>
    </row>
    <row r="17" spans="1:19" x14ac:dyDescent="0.35">
      <c r="A17" t="s">
        <v>115</v>
      </c>
      <c r="B17" t="s">
        <v>116</v>
      </c>
      <c r="C17" t="s">
        <v>117</v>
      </c>
      <c r="D17" t="s">
        <v>41</v>
      </c>
      <c r="E17" s="1">
        <v>43569</v>
      </c>
      <c r="F17">
        <v>71500.55</v>
      </c>
      <c r="G17">
        <f t="shared" si="0"/>
        <v>80025.5625</v>
      </c>
      <c r="H17" t="str">
        <f>IF(Page001__2_1[[#This Row],[Salary]]&gt;Page001__2_1[[#This Row],[Avg Dept Salary]],"High Class","Below/Equal")</f>
        <v>Below/Equal</v>
      </c>
      <c r="I17">
        <v>4</v>
      </c>
      <c r="J17" t="str">
        <f>IF(Page001__2_1[[#This Row],[YearsExperience]]&gt;10,"High Experience",IF(Page001__2_1[[#This Row],[YearsExperience]]&gt;5,"Medium Experience","Low Experience"))</f>
        <v>Low Experience</v>
      </c>
      <c r="K17" t="s">
        <v>42</v>
      </c>
      <c r="L17" t="s">
        <v>118</v>
      </c>
      <c r="M17">
        <f t="shared" si="1"/>
        <v>2019</v>
      </c>
      <c r="N17" s="2">
        <v>0</v>
      </c>
      <c r="P17"/>
      <c r="Q17"/>
      <c r="R17"/>
      <c r="S17"/>
    </row>
    <row r="18" spans="1:19" x14ac:dyDescent="0.35">
      <c r="A18" t="s">
        <v>119</v>
      </c>
      <c r="B18" t="s">
        <v>120</v>
      </c>
      <c r="C18" t="s">
        <v>121</v>
      </c>
      <c r="D18" t="s">
        <v>82</v>
      </c>
      <c r="E18" s="1">
        <v>42013</v>
      </c>
      <c r="F18">
        <v>85000.65</v>
      </c>
      <c r="G18">
        <f t="shared" si="0"/>
        <v>78200.459999999992</v>
      </c>
      <c r="H18" t="str">
        <f>IF(Page001__2_1[[#This Row],[Salary]]&gt;Page001__2_1[[#This Row],[Avg Dept Salary]],"High Class","Below/Equal")</f>
        <v>High Class</v>
      </c>
      <c r="I18">
        <v>9.5</v>
      </c>
      <c r="J18" t="str">
        <f>IF(Page001__2_1[[#This Row],[YearsExperience]]&gt;10,"High Experience",IF(Page001__2_1[[#This Row],[YearsExperience]]&gt;5,"Medium Experience","Low Experience"))</f>
        <v>Medium Experience</v>
      </c>
      <c r="K18" t="s">
        <v>83</v>
      </c>
      <c r="L18" t="s">
        <v>84</v>
      </c>
      <c r="M18">
        <f t="shared" si="1"/>
        <v>2015</v>
      </c>
      <c r="N18" s="2">
        <v>0</v>
      </c>
      <c r="P18"/>
      <c r="Q18"/>
      <c r="R18"/>
      <c r="S18"/>
    </row>
    <row r="19" spans="1:19" x14ac:dyDescent="0.35">
      <c r="A19" t="s">
        <v>122</v>
      </c>
      <c r="B19" t="s">
        <v>123</v>
      </c>
      <c r="C19" t="s">
        <v>74</v>
      </c>
      <c r="D19" t="s">
        <v>35</v>
      </c>
      <c r="E19" s="1">
        <v>44755</v>
      </c>
      <c r="F19">
        <v>125700.85</v>
      </c>
      <c r="G19">
        <f t="shared" si="0"/>
        <v>113293.46888888888</v>
      </c>
      <c r="H19" t="str">
        <f>IF(Page001__2_1[[#This Row],[Salary]]&gt;Page001__2_1[[#This Row],[Avg Dept Salary]],"High Class","Below/Equal")</f>
        <v>High Class</v>
      </c>
      <c r="I19">
        <v>2.5</v>
      </c>
      <c r="J19" t="str">
        <f>IF(Page001__2_1[[#This Row],[YearsExperience]]&gt;10,"High Experience",IF(Page001__2_1[[#This Row],[YearsExperience]]&gt;5,"Medium Experience","Low Experience"))</f>
        <v>Low Experience</v>
      </c>
      <c r="K19" t="s">
        <v>36</v>
      </c>
      <c r="L19" t="s">
        <v>124</v>
      </c>
      <c r="M19">
        <f t="shared" si="1"/>
        <v>2022</v>
      </c>
      <c r="N19" s="2">
        <v>1</v>
      </c>
      <c r="P19"/>
      <c r="Q19"/>
      <c r="R19"/>
      <c r="S19"/>
    </row>
    <row r="20" spans="1:19" x14ac:dyDescent="0.35">
      <c r="A20" t="s">
        <v>125</v>
      </c>
      <c r="B20" t="s">
        <v>126</v>
      </c>
      <c r="C20" t="s">
        <v>127</v>
      </c>
      <c r="D20" t="s">
        <v>56</v>
      </c>
      <c r="E20" s="1">
        <v>41351</v>
      </c>
      <c r="F20">
        <v>88000.4</v>
      </c>
      <c r="G20">
        <f t="shared" si="0"/>
        <v>91752.645999999993</v>
      </c>
      <c r="H20" t="str">
        <f>IF(Page001__2_1[[#This Row],[Salary]]&gt;Page001__2_1[[#This Row],[Avg Dept Salary]],"High Class","Below/Equal")</f>
        <v>Below/Equal</v>
      </c>
      <c r="I20">
        <v>15</v>
      </c>
      <c r="J20" t="str">
        <f>IF(Page001__2_1[[#This Row],[YearsExperience]]&gt;10,"High Experience",IF(Page001__2_1[[#This Row],[YearsExperience]]&gt;5,"Medium Experience","Low Experience"))</f>
        <v>High Experience</v>
      </c>
      <c r="K20" t="s">
        <v>57</v>
      </c>
      <c r="L20" t="s">
        <v>58</v>
      </c>
      <c r="M20">
        <f t="shared" si="1"/>
        <v>2013</v>
      </c>
      <c r="N20" s="2">
        <v>0</v>
      </c>
      <c r="P20"/>
      <c r="Q20"/>
      <c r="R20"/>
      <c r="S20"/>
    </row>
    <row r="21" spans="1:19" x14ac:dyDescent="0.35">
      <c r="A21" t="s">
        <v>128</v>
      </c>
      <c r="B21" t="s">
        <v>129</v>
      </c>
      <c r="C21" t="s">
        <v>87</v>
      </c>
      <c r="D21" t="s">
        <v>35</v>
      </c>
      <c r="E21" s="1">
        <v>44072</v>
      </c>
      <c r="F21">
        <v>104500.7</v>
      </c>
      <c r="G21">
        <f t="shared" si="0"/>
        <v>113293.46888888888</v>
      </c>
      <c r="H21" t="str">
        <f>IF(Page001__2_1[[#This Row],[Salary]]&gt;Page001__2_1[[#This Row],[Avg Dept Salary]],"High Class","Below/Equal")</f>
        <v>Below/Equal</v>
      </c>
      <c r="I21">
        <v>3.3</v>
      </c>
      <c r="J21" t="str">
        <f>IF(Page001__2_1[[#This Row],[YearsExperience]]&gt;10,"High Experience",IF(Page001__2_1[[#This Row],[YearsExperience]]&gt;5,"Medium Experience","Low Experience"))</f>
        <v>Low Experience</v>
      </c>
      <c r="K21" t="s">
        <v>62</v>
      </c>
      <c r="L21" t="s">
        <v>130</v>
      </c>
      <c r="M21">
        <f t="shared" si="1"/>
        <v>2020</v>
      </c>
      <c r="N21" s="2">
        <v>0</v>
      </c>
      <c r="P21"/>
      <c r="Q21"/>
      <c r="R21"/>
      <c r="S21"/>
    </row>
    <row r="22" spans="1:19" x14ac:dyDescent="0.35">
      <c r="A22" t="s">
        <v>131</v>
      </c>
      <c r="B22" t="s">
        <v>132</v>
      </c>
      <c r="C22" t="s">
        <v>55</v>
      </c>
      <c r="D22" t="s">
        <v>41</v>
      </c>
      <c r="E22" s="1">
        <v>42706</v>
      </c>
      <c r="F22">
        <v>78200.350000000006</v>
      </c>
      <c r="G22">
        <f t="shared" si="0"/>
        <v>80025.5625</v>
      </c>
      <c r="H22" t="str">
        <f>IF(Page001__2_1[[#This Row],[Salary]]&gt;Page001__2_1[[#This Row],[Avg Dept Salary]],"High Class","Below/Equal")</f>
        <v>Below/Equal</v>
      </c>
      <c r="I22">
        <v>6.9</v>
      </c>
      <c r="J22" t="str">
        <f>IF(Page001__2_1[[#This Row],[YearsExperience]]&gt;10,"High Experience",IF(Page001__2_1[[#This Row],[YearsExperience]]&gt;5,"Medium Experience","Low Experience"))</f>
        <v>Medium Experience</v>
      </c>
      <c r="K22" t="s">
        <v>42</v>
      </c>
      <c r="L22" t="s">
        <v>88</v>
      </c>
      <c r="M22">
        <f t="shared" si="1"/>
        <v>2016</v>
      </c>
      <c r="N22" s="2">
        <v>0</v>
      </c>
      <c r="P22"/>
      <c r="Q22"/>
      <c r="R22"/>
      <c r="S22"/>
    </row>
    <row r="23" spans="1:19" x14ac:dyDescent="0.35">
      <c r="A23" t="s">
        <v>133</v>
      </c>
      <c r="B23" t="s">
        <v>134</v>
      </c>
      <c r="C23" t="s">
        <v>135</v>
      </c>
      <c r="D23" t="s">
        <v>82</v>
      </c>
      <c r="E23" s="1">
        <v>43360</v>
      </c>
      <c r="F23">
        <v>69800.25</v>
      </c>
      <c r="G23">
        <f t="shared" si="0"/>
        <v>78200.459999999992</v>
      </c>
      <c r="H23" t="str">
        <f>IF(Page001__2_1[[#This Row],[Salary]]&gt;Page001__2_1[[#This Row],[Avg Dept Salary]],"High Class","Below/Equal")</f>
        <v>Below/Equal</v>
      </c>
      <c r="I23">
        <v>5.2</v>
      </c>
      <c r="J23" t="str">
        <f>IF(Page001__2_1[[#This Row],[YearsExperience]]&gt;10,"High Experience",IF(Page001__2_1[[#This Row],[YearsExperience]]&gt;5,"Medium Experience","Low Experience"))</f>
        <v>Medium Experience</v>
      </c>
      <c r="K23" t="s">
        <v>92</v>
      </c>
      <c r="L23" t="s">
        <v>136</v>
      </c>
      <c r="M23">
        <f t="shared" si="1"/>
        <v>2018</v>
      </c>
      <c r="N23" s="2">
        <v>0</v>
      </c>
      <c r="P23"/>
      <c r="Q23"/>
      <c r="R23"/>
      <c r="S23"/>
    </row>
    <row r="24" spans="1:19" x14ac:dyDescent="0.35">
      <c r="A24" t="s">
        <v>137</v>
      </c>
      <c r="B24" t="s">
        <v>138</v>
      </c>
      <c r="C24" t="s">
        <v>139</v>
      </c>
      <c r="D24" t="s">
        <v>70</v>
      </c>
      <c r="E24" s="1">
        <v>41021</v>
      </c>
      <c r="F24">
        <v>134800.95000000001</v>
      </c>
      <c r="G24">
        <f t="shared" si="0"/>
        <v>130150.47500000001</v>
      </c>
      <c r="H24" t="str">
        <f>IF(Page001__2_1[[#This Row],[Salary]]&gt;Page001__2_1[[#This Row],[Avg Dept Salary]],"High Class","Below/Equal")</f>
        <v>High Class</v>
      </c>
      <c r="I24">
        <v>14.6</v>
      </c>
      <c r="J24" t="str">
        <f>IF(Page001__2_1[[#This Row],[YearsExperience]]&gt;10,"High Experience",IF(Page001__2_1[[#This Row],[YearsExperience]]&gt;5,"Medium Experience","Low Experience"))</f>
        <v>High Experience</v>
      </c>
      <c r="K24" t="s">
        <v>42</v>
      </c>
      <c r="L24" t="s">
        <v>140</v>
      </c>
      <c r="M24">
        <f t="shared" si="1"/>
        <v>2012</v>
      </c>
      <c r="N24" s="2">
        <v>0</v>
      </c>
      <c r="P24"/>
      <c r="Q24"/>
      <c r="R24"/>
      <c r="S24"/>
    </row>
    <row r="25" spans="1:19" x14ac:dyDescent="0.35">
      <c r="A25" t="s">
        <v>141</v>
      </c>
      <c r="B25" t="s">
        <v>142</v>
      </c>
      <c r="C25" t="s">
        <v>143</v>
      </c>
      <c r="D25" t="s">
        <v>66</v>
      </c>
      <c r="E25" s="1">
        <v>43649</v>
      </c>
      <c r="F25">
        <v>58200.800000000003</v>
      </c>
      <c r="G25">
        <f t="shared" si="0"/>
        <v>90305.05</v>
      </c>
      <c r="H25" t="str">
        <f>IF(Page001__2_1[[#This Row],[Salary]]&gt;Page001__2_1[[#This Row],[Avg Dept Salary]],"High Class","Below/Equal")</f>
        <v>Below/Equal</v>
      </c>
      <c r="I25">
        <v>3.1</v>
      </c>
      <c r="J25" t="str">
        <f>IF(Page001__2_1[[#This Row],[YearsExperience]]&gt;10,"High Experience",IF(Page001__2_1[[#This Row],[YearsExperience]]&gt;5,"Medium Experience","Low Experience"))</f>
        <v>Low Experience</v>
      </c>
      <c r="K25" t="s">
        <v>62</v>
      </c>
      <c r="L25" t="s">
        <v>144</v>
      </c>
      <c r="M25">
        <f t="shared" si="1"/>
        <v>2019</v>
      </c>
      <c r="N25" s="2">
        <v>0</v>
      </c>
      <c r="P25"/>
      <c r="Q25"/>
      <c r="R25"/>
      <c r="S25"/>
    </row>
    <row r="26" spans="1:19" x14ac:dyDescent="0.35">
      <c r="A26" t="s">
        <v>145</v>
      </c>
      <c r="B26" t="s">
        <v>146</v>
      </c>
      <c r="C26" t="s">
        <v>78</v>
      </c>
      <c r="D26" t="s">
        <v>56</v>
      </c>
      <c r="E26" s="1">
        <v>42885</v>
      </c>
      <c r="F26">
        <v>93600.6</v>
      </c>
      <c r="G26">
        <f t="shared" si="0"/>
        <v>91752.645999999993</v>
      </c>
      <c r="H26" t="str">
        <f>IF(Page001__2_1[[#This Row],[Salary]]&gt;Page001__2_1[[#This Row],[Avg Dept Salary]],"High Class","Below/Equal")</f>
        <v>High Class</v>
      </c>
      <c r="I26">
        <v>7.7</v>
      </c>
      <c r="J26" t="str">
        <f>IF(Page001__2_1[[#This Row],[YearsExperience]]&gt;10,"High Experience",IF(Page001__2_1[[#This Row],[YearsExperience]]&gt;5,"Medium Experience","Low Experience"))</f>
        <v>Medium Experience</v>
      </c>
      <c r="K26" t="s">
        <v>36</v>
      </c>
      <c r="L26" t="s">
        <v>147</v>
      </c>
      <c r="M26">
        <f t="shared" si="1"/>
        <v>2017</v>
      </c>
      <c r="N26" s="2">
        <v>0</v>
      </c>
      <c r="P26"/>
      <c r="Q26"/>
      <c r="R26"/>
      <c r="S26"/>
    </row>
    <row r="27" spans="1:19" x14ac:dyDescent="0.35">
      <c r="A27" t="s">
        <v>148</v>
      </c>
      <c r="B27" t="s">
        <v>149</v>
      </c>
      <c r="C27" t="s">
        <v>150</v>
      </c>
      <c r="D27" t="s">
        <v>35</v>
      </c>
      <c r="E27" s="1">
        <v>41939</v>
      </c>
      <c r="F27">
        <v>128300.2</v>
      </c>
      <c r="G27">
        <f t="shared" si="0"/>
        <v>113293.46888888888</v>
      </c>
      <c r="H27" t="str">
        <f>IF(Page001__2_1[[#This Row],[Salary]]&gt;Page001__2_1[[#This Row],[Avg Dept Salary]],"High Class","Below/Equal")</f>
        <v>High Class</v>
      </c>
      <c r="I27">
        <v>11.1</v>
      </c>
      <c r="J27" t="str">
        <f>IF(Page001__2_1[[#This Row],[YearsExperience]]&gt;10,"High Experience",IF(Page001__2_1[[#This Row],[YearsExperience]]&gt;5,"Medium Experience","Low Experience"))</f>
        <v>High Experience</v>
      </c>
      <c r="K27" t="s">
        <v>83</v>
      </c>
      <c r="L27" t="s">
        <v>84</v>
      </c>
      <c r="M27">
        <f t="shared" si="1"/>
        <v>2014</v>
      </c>
      <c r="N27" s="2">
        <v>0</v>
      </c>
      <c r="P27"/>
      <c r="Q27"/>
      <c r="R27"/>
      <c r="S27"/>
    </row>
    <row r="28" spans="1:19" x14ac:dyDescent="0.35">
      <c r="A28" t="s">
        <v>151</v>
      </c>
      <c r="B28" t="s">
        <v>152</v>
      </c>
      <c r="C28" t="s">
        <v>153</v>
      </c>
      <c r="D28" t="s">
        <v>66</v>
      </c>
      <c r="E28" s="1">
        <v>42380</v>
      </c>
      <c r="F28">
        <v>74500.350000000006</v>
      </c>
      <c r="G28">
        <f t="shared" si="0"/>
        <v>90305.05</v>
      </c>
      <c r="H28" t="str">
        <f>IF(Page001__2_1[[#This Row],[Salary]]&gt;Page001__2_1[[#This Row],[Avg Dept Salary]],"High Class","Below/Equal")</f>
        <v>Below/Equal</v>
      </c>
      <c r="I28">
        <v>8.1999999999999993</v>
      </c>
      <c r="J28" t="str">
        <f>IF(Page001__2_1[[#This Row],[YearsExperience]]&gt;10,"High Experience",IF(Page001__2_1[[#This Row],[YearsExperience]]&gt;5,"Medium Experience","Low Experience"))</f>
        <v>Medium Experience</v>
      </c>
      <c r="K28" t="s">
        <v>57</v>
      </c>
      <c r="L28" t="s">
        <v>154</v>
      </c>
      <c r="M28">
        <f t="shared" si="1"/>
        <v>2016</v>
      </c>
      <c r="N28" s="2">
        <v>0</v>
      </c>
      <c r="P28"/>
      <c r="Q28"/>
      <c r="R28"/>
      <c r="S28"/>
    </row>
    <row r="29" spans="1:19" x14ac:dyDescent="0.35">
      <c r="A29" t="s">
        <v>38</v>
      </c>
      <c r="B29" t="s">
        <v>39</v>
      </c>
      <c r="C29" t="s">
        <v>40</v>
      </c>
      <c r="D29" t="s">
        <v>41</v>
      </c>
      <c r="E29" s="1">
        <v>42204</v>
      </c>
      <c r="F29">
        <v>81000.55</v>
      </c>
      <c r="G29">
        <f t="shared" si="0"/>
        <v>80025.5625</v>
      </c>
      <c r="H29" t="str">
        <f>IF(Page001__2_1[[#This Row],[Salary]]&gt;Page001__2_1[[#This Row],[Avg Dept Salary]],"High Class","Below/Equal")</f>
        <v>High Class</v>
      </c>
      <c r="I29">
        <v>9.9</v>
      </c>
      <c r="J29" t="str">
        <f>IF(Page001__2_1[[#This Row],[YearsExperience]]&gt;10,"High Experience",IF(Page001__2_1[[#This Row],[YearsExperience]]&gt;5,"Medium Experience","Low Experience"))</f>
        <v>Medium Experience</v>
      </c>
      <c r="K29" t="s">
        <v>42</v>
      </c>
      <c r="L29" t="s">
        <v>43</v>
      </c>
      <c r="M29">
        <f t="shared" si="1"/>
        <v>2015</v>
      </c>
      <c r="N29" s="2">
        <v>0</v>
      </c>
      <c r="P29"/>
      <c r="Q29"/>
      <c r="R29"/>
      <c r="S29"/>
    </row>
    <row r="30" spans="1:19" x14ac:dyDescent="0.35">
      <c r="A30" t="s">
        <v>32</v>
      </c>
      <c r="B30" t="s">
        <v>33</v>
      </c>
      <c r="C30" t="s">
        <v>34</v>
      </c>
      <c r="D30" t="s">
        <v>35</v>
      </c>
      <c r="E30" s="1">
        <v>43409</v>
      </c>
      <c r="F30">
        <v>115800</v>
      </c>
      <c r="G30">
        <f t="shared" si="0"/>
        <v>113293.46888888888</v>
      </c>
      <c r="H30" t="str">
        <f>IF(Page001__2_1[[#This Row],[Salary]]&gt;Page001__2_1[[#This Row],[Avg Dept Salary]],"High Class","Below/Equal")</f>
        <v>High Class</v>
      </c>
      <c r="I30">
        <v>5.4</v>
      </c>
      <c r="J30" t="str">
        <f>IF(Page001__2_1[[#This Row],[YearsExperience]]&gt;10,"High Experience",IF(Page001__2_1[[#This Row],[YearsExperience]]&gt;5,"Medium Experience","Low Experience"))</f>
        <v>Medium Experience</v>
      </c>
      <c r="K30" t="s">
        <v>36</v>
      </c>
      <c r="L30" t="s">
        <v>37</v>
      </c>
      <c r="M30">
        <f t="shared" si="1"/>
        <v>2018</v>
      </c>
      <c r="N30" s="2">
        <v>0</v>
      </c>
      <c r="P30"/>
      <c r="Q30"/>
      <c r="R30"/>
      <c r="S30"/>
    </row>
    <row r="31" spans="1:19" x14ac:dyDescent="0.35">
      <c r="A31" t="s">
        <v>155</v>
      </c>
      <c r="B31" t="s">
        <v>156</v>
      </c>
      <c r="C31" t="s">
        <v>157</v>
      </c>
      <c r="D31" t="s">
        <v>82</v>
      </c>
      <c r="E31" s="1">
        <v>41540</v>
      </c>
      <c r="F31">
        <v>99500.75</v>
      </c>
      <c r="G31">
        <f t="shared" si="0"/>
        <v>78200.459999999992</v>
      </c>
      <c r="H31" t="str">
        <f>IF(Page001__2_1[[#This Row],[Salary]]&gt;Page001__2_1[[#This Row],[Avg Dept Salary]],"High Class","Below/Equal")</f>
        <v>High Class</v>
      </c>
      <c r="I31">
        <v>12.7</v>
      </c>
      <c r="J31" t="str">
        <f>IF(Page001__2_1[[#This Row],[YearsExperience]]&gt;10,"High Experience",IF(Page001__2_1[[#This Row],[YearsExperience]]&gt;5,"Medium Experience","Low Experience"))</f>
        <v>High Experience</v>
      </c>
      <c r="K31" t="s">
        <v>62</v>
      </c>
      <c r="L31" t="s">
        <v>158</v>
      </c>
      <c r="M31">
        <f t="shared" si="1"/>
        <v>2013</v>
      </c>
      <c r="N31" s="2">
        <v>0</v>
      </c>
      <c r="P31"/>
      <c r="Q31"/>
      <c r="R31"/>
      <c r="S31"/>
    </row>
  </sheetData>
  <phoneticPr fontId="2" type="noConversion"/>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7FE64-0B53-4C77-B840-DAEE203B6A76}">
  <dimension ref="A1:A32"/>
  <sheetViews>
    <sheetView workbookViewId="0">
      <selection activeCell="A16" sqref="A16"/>
    </sheetView>
  </sheetViews>
  <sheetFormatPr defaultRowHeight="14.5" x14ac:dyDescent="0.35"/>
  <cols>
    <col min="1" max="1" width="80.453125" bestFit="1" customWidth="1"/>
  </cols>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76F0-B0A4-4943-9025-D2547964FF01}">
  <dimension ref="A1:I1"/>
  <sheetViews>
    <sheetView showGridLines="0" showRowColHeaders="0" tabSelected="1" workbookViewId="0">
      <selection activeCell="V20" sqref="V20"/>
    </sheetView>
  </sheetViews>
  <sheetFormatPr defaultRowHeight="14.5" x14ac:dyDescent="0.35"/>
  <cols>
    <col min="1" max="16384" width="8.7265625" style="7"/>
  </cols>
  <sheetData>
    <row r="1" spans="1:9" ht="26" x14ac:dyDescent="0.6">
      <c r="A1" s="8" t="s">
        <v>175</v>
      </c>
      <c r="B1" s="9"/>
      <c r="C1" s="9"/>
      <c r="D1" s="9"/>
      <c r="E1" s="9"/>
      <c r="F1" s="9"/>
      <c r="G1" s="9"/>
      <c r="H1" s="9"/>
      <c r="I1" s="9"/>
    </row>
  </sheetData>
  <mergeCells count="1">
    <mergeCell ref="A1:I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DE43C1-82F3-4E8D-8E24-0790F5A27E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pivot table1</vt:lpstr>
      <vt:lpstr>pivot table2</vt:lpstr>
      <vt:lpstr>pivot table3</vt:lpstr>
      <vt:lpstr>pivottable4</vt:lpstr>
      <vt:lpstr>pivottable5</vt:lpstr>
      <vt:lpstr>pivottable6</vt:lpstr>
      <vt:lpstr>pivottable7</vt:lpstr>
      <vt:lpstr>pivottable8</vt:lpstr>
      <vt:lpstr>PT_Hiring</vt:lpstr>
      <vt:lpstr>PT_Retention</vt:lpstr>
      <vt:lpstr>PT_City</vt:lpstr>
      <vt:lpstr>pivottable9</vt:lpstr>
      <vt:lpstr>Page001__2</vt:lpstr>
      <vt:lpstr>Page001 (2)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Waseka Islam</dc:creator>
  <cp:lastModifiedBy>Waseka Islam</cp:lastModifiedBy>
  <dcterms:created xsi:type="dcterms:W3CDTF">2025-10-11T11:05:27Z</dcterms:created>
  <dcterms:modified xsi:type="dcterms:W3CDTF">2025-10-18T08:32:16Z</dcterms:modified>
</cp:coreProperties>
</file>